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2a97b3dd744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c53a1458c2e451a"/>
    <x:sheet xmlns:r="http://schemas.openxmlformats.org/officeDocument/2006/relationships" name="Asset inventory" sheetId="2" r:id="R80b1f29daa2640e8"/>
    <x:sheet xmlns:r="http://schemas.openxmlformats.org/officeDocument/2006/relationships" name="UI crops" sheetId="3" r:id="R50546a06f3dc42f6"/>
    <x:sheet xmlns:r="http://schemas.openxmlformats.org/officeDocument/2006/relationships" name="Hero inputs" sheetId="4" r:id="R128f356cffad4a9c"/>
    <x:sheet xmlns:r="http://schemas.openxmlformats.org/officeDocument/2006/relationships" name="Rating assumptions" sheetId="5" r:id="R2c9b018ea6c34181"/>
    <x:sheet xmlns:r="http://schemas.openxmlformats.org/officeDocument/2006/relationships" name="Hero stats" sheetId="6" r:id="R16a8c6eb237e449e"/>
    <x:sheet xmlns:r="http://schemas.openxmlformats.org/officeDocument/2006/relationships" name="Weapon rules" sheetId="7" r:id="Rc50a2c7aecc74aee"/>
    <x:sheet xmlns:r="http://schemas.openxmlformats.org/officeDocument/2006/relationships" name="Eligibility" sheetId="8" r:id="Ra8cc7e4482d24c9b"/>
    <x:sheet xmlns:r="http://schemas.openxmlformats.org/officeDocument/2006/relationships" name="Sources" sheetId="9" r:id="Re575ce8615b74118"/>
    <x:sheet xmlns:r="http://schemas.openxmlformats.org/officeDocument/2006/relationships" name="Missing art" sheetId="10" r:id="R07d7b45944494144"/>
    <x:sheet xmlns:r="http://schemas.openxmlformats.org/officeDocument/2006/relationships" name="UI polish additions" sheetId="11" r:id="R46146c6abfe041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"/>
  </x:numFmts>
  <x:fonts count="13">
    <x:font>
      <x:sz val="11"/>
      <x:name val="Carlito"/>
    </x:font>
    <x:font>
      <x:sz val="11"/>
      <x:name val="Calibri"/>
    </x:font>
    <x:font>
      <x:b/>
      <x:sz val="11"/>
      <x:color rgb="FFFFF0C8"/>
      <x:name val="Calibri"/>
    </x:font>
    <x:font>
      <x:b/>
      <x:sz val="20"/>
      <x:color rgb="FFFFF0C8"/>
      <x:name val="Calibri"/>
    </x:font>
    <x:font>
      <x:sz val="11"/>
      <x:color rgb="FF4F6076"/>
      <x:name val="Carlito"/>
    </x:font>
    <x:font>
      <x:b/>
      <x:sz val="11"/>
      <x:color rgb="FF273954"/>
      <x:name val="Carlito"/>
    </x:font>
    <x:font>
      <x:b/>
      <x:sz val="21"/>
      <x:color rgb="FF101F3C"/>
      <x:name val="Carlito"/>
    </x:font>
    <x:font>
      <x:sz val="12"/>
      <x:color rgb="FF263B56"/>
      <x:name val="Carlito"/>
    </x:font>
    <x:font>
      <x:b/>
      <x:sz val="11"/>
      <x:color rgb="FFFFF0C8"/>
      <x:name val="Carlito"/>
    </x:font>
    <x:font>
      <x:b/>
      <x:sz val="11"/>
      <x:color rgb="FFFFF1C8"/>
      <x:name val="Carlito"/>
    </x:font>
    <x:font>
      <x:b/>
      <x:sz val="18"/>
      <x:color rgb="FFFBE8B4"/>
      <x:name val="Calibri"/>
    </x:font>
    <x:font>
      <x:sz val="11"/>
      <x:color rgb="FF10213E"/>
      <x:name val="Carlito"/>
    </x:font>
    <x:font>
      <x:sz val="10"/>
      <x:color rgb="FF3348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1F3C"/>
      </x:patternFill>
    </x:fill>
    <x:fill>
      <x:patternFill patternType="solid">
        <x:fgColor rgb="FFEAF0F5"/>
      </x:patternFill>
    </x:fill>
    <x:fill>
      <x:patternFill patternType="solid">
        <x:fgColor rgb="FFFCEDC9"/>
      </x:patternFill>
    </x:fill>
    <x:fill>
      <x:patternFill patternType="solid">
        <x:fgColor rgb="FFF1F4F8"/>
      </x:patternFill>
    </x:fill>
    <x:fill>
      <x:patternFill patternType="solid">
        <x:fgColor rgb="FF0B233C"/>
      </x:patternFill>
    </x:fill>
    <x:fill>
      <x:patternFill patternType="solid">
        <x:fgColor rgb="FF10213E"/>
      </x:patternFill>
    </x:fill>
    <x:fill>
      <x:patternFill patternType="solid">
        <x:fgColor rgb="FFECF2F8"/>
      </x:patternFill>
    </x:fill>
    <x:fill>
      <x:patternFill patternType="solid">
        <x:fgColor rgb="FFF1F5FA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55329"/>
      </x:font>
      <x:fill>
        <x:patternFill>
          <x:bgColor rgb="FFD9E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28a718da14185" /><Relationship Type="http://schemas.openxmlformats.org/officeDocument/2006/relationships/theme" Target="/xl/theme/theme1.xml" Id="R5b1065376d0d4790" /><Relationship Type="http://schemas.openxmlformats.org/officeDocument/2006/relationships/sharedStrings" Target="/xl/sharedStrings.xml" Id="R6f4cdbe2a88141be" /><Relationship Type="http://schemas.openxmlformats.org/officeDocument/2006/relationships/worksheet" Target="/xl/worksheets/sheet1.xml" Id="R5c53a1458c2e451a" /><Relationship Type="http://schemas.openxmlformats.org/officeDocument/2006/relationships/worksheet" Target="/xl/worksheets/sheet2.xml" Id="R80b1f29daa2640e8" /><Relationship Type="http://schemas.openxmlformats.org/officeDocument/2006/relationships/worksheet" Target="/xl/worksheets/sheet3.xml" Id="R50546a06f3dc42f6" /><Relationship Type="http://schemas.openxmlformats.org/officeDocument/2006/relationships/worksheet" Target="/xl/worksheets/sheet4.xml" Id="R128f356cffad4a9c" /><Relationship Type="http://schemas.openxmlformats.org/officeDocument/2006/relationships/worksheet" Target="/xl/worksheets/sheet5.xml" Id="R2c9b018ea6c34181" /><Relationship Type="http://schemas.openxmlformats.org/officeDocument/2006/relationships/worksheet" Target="/xl/worksheets/sheet6.xml" Id="R16a8c6eb237e449e" /><Relationship Type="http://schemas.openxmlformats.org/officeDocument/2006/relationships/worksheet" Target="/xl/worksheets/sheet7.xml" Id="Rc50a2c7aecc74aee" /><Relationship Type="http://schemas.openxmlformats.org/officeDocument/2006/relationships/worksheet" Target="/xl/worksheets/sheet8.xml" Id="Ra8cc7e4482d24c9b" /><Relationship Type="http://schemas.openxmlformats.org/officeDocument/2006/relationships/worksheet" Target="/xl/worksheets/sheet9.xml" Id="Re575ce8615b74118" /><Relationship Type="http://schemas.openxmlformats.org/officeDocument/2006/relationships/worksheet" Target="/xl/worksheets/sheet10.xml" Id="R07d7b45944494144" /><Relationship Type="http://schemas.openxmlformats.org/officeDocument/2006/relationships/worksheet" Target="/xl/worksheets/sheet11.xml" Id="R46146c6abfe04139" /></Relationships>
</file>

<file path=xl/tables/table1.xml><?xml version="1.0" encoding="utf-8"?>
<x:table xmlns:x="http://schemas.openxmlformats.org/spreadsheetml/2006/main" id="1" name="RuntimeAssets" displayName="RuntimeAssets" ref="A1:E424" headerRowCount="1" totalsRowCount="0" totalsRowShown="0">
  <x:tableColumns count="5">
    <x:tableColumn id="1" name="Asset filename"/>
    <x:tableColumn id="2" name="Exact file path"/>
    <x:tableColumn id="3" name="Where used in-game"/>
    <x:tableColumn id="4" name="Source sheet / ZIP"/>
    <x:tableColumn id="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ICrops" displayName="UICrops" ref="A1:I85" headerRowCount="1" totalsRowCount="0" totalsRowShown="0">
  <x:tableColumns count="9">
    <x:tableColumn id="1" name="Manifest key"/>
    <x:tableColumn id="2" name="Output path"/>
    <x:tableColumn id="3" name="Original source sheet"/>
    <x:tableColumn id="4" name="Left"/>
    <x:tableColumn id="5" name="Top"/>
    <x:tableColumn id="6" name="Right excl."/>
    <x:tableColumn id="7" name="Bottom excl."/>
    <x:tableColumn id="8" name="Source code references"/>
    <x:tableColumn id="9" name="PNG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roInputs" displayName="HeroInputs" ref="A1:N11" headerRowCount="1" totalsRowCount="0" totalsRowShown="0">
  <x:tableColumns count="14">
    <x:tableColumn id="1" name="Stable ID"/>
    <x:tableColumn id="2" name="Display name"/>
    <x:tableColumn id="3" name="Startup (s)"/>
    <x:tableColumn id="4" name="Active (s)"/>
    <x:tableColumn id="5" name="Recovery (s)"/>
    <x:tableColumn id="6" name="Dodge (s)"/>
    <x:tableColumn id="7" name="Speed factor"/>
    <x:tableColumn id="8" name="Accel factor"/>
    <x:tableColumn id="9" name="Air factor"/>
    <x:tableColumn id="10" name="Melee damage"/>
    <x:tableColumn id="11" name="Projectile"/>
    <x:tableColumn id="12" name="Magic damage"/>
    <x:tableColumn id="13" name="Body art"/>
    <x:tableColumn id="14" name="Signature ke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tingAssumptions" displayName="RatingAssumptions" ref="A1:C14" headerRowCount="1" totalsRowCount="0" totalsRowShown="0">
  <x:tableColumns count="3">
    <x:tableColumn id="1" name="Assumption"/>
    <x:tableColumn id="2" name="Value"/>
    <x:tableColumn id="3" name="Source / judg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rivedRatings" displayName="DerivedRatings" ref="A1:K11" headerRowCount="1" totalsRowCount="0" totalsRowShown="0">
  <x:tableColumns count="11">
    <x:tableColumn id="1" name="Stable ID"/>
    <x:tableColumn id="2" name="Display name"/>
    <x:tableColumn id="3" name="Cycle (s)"/>
    <x:tableColumn id="4" name="Power"/>
    <x:tableColumn id="5" name="Magic"/>
    <x:tableColumn id="6" name="Speed"/>
    <x:tableColumn id="7" name="Stamina"/>
    <x:tableColumn id="8" name="Drain / sec"/>
    <x:tableColumn id="9" name="Fist startup"/>
    <x:tableColumn id="10" name="Fist active"/>
    <x:tableColumn id="11" name="Fist recove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eaponRules" displayName="WeaponRules" ref="A1:F11" headerRowCount="1" totalsRowCount="0" totalsRowShown="0">
  <x:tableColumns count="6">
    <x:tableColumn id="1" name="Stable type"/>
    <x:tableColumn id="2" name="Display weapon"/>
    <x:tableColumn id="3" name="Min Power"/>
    <x:tableColumn id="4" name="Min Magic"/>
    <x:tableColumn id="5" name="Min Speed"/>
    <x:tableColumn id="6" name="Min Stamin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ligibilityMatrix" displayName="EligibilityMatrix" ref="A1:L11" headerRowCount="1" totalsRowCount="0" totalsRowShown="0">
  <x:tableColumns count="12">
    <x:tableColumn id="1" name="Hero"/>
    <x:tableColumn id="2" name="gauntlet"/>
    <x:tableColumn id="3" name="dual"/>
    <x:tableColumn id="4" name="staff"/>
    <x:tableColumn id="5" name="dagger"/>
    <x:tableColumn id="6" name="shield"/>
    <x:tableColumn id="7" name="sabre"/>
    <x:tableColumn id="8" name="gadget"/>
    <x:tableColumn id="9" name="bow"/>
    <x:tableColumn id="10" name="lance"/>
    <x:tableColumn id="11" name="frost_staff"/>
    <x:tableColumn id="12" name="Ar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Ledger" displayName="SourceLedger" ref="A1:E32" headerRowCount="1" totalsRowCount="0" totalsRowShown="0">
  <x:tableColumns count="5">
    <x:tableColumn id="1" name="Type"/>
    <x:tableColumn id="2" name="Local source"/>
    <x:tableColumn id="3" name="Included / destination path"/>
    <x:tableColumn id="4" name="SHA-256"/>
    <x:tableColumn id="5" name="Verifica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issingAssets" displayName="MissingAssets" ref="A1:G274" headerRowCount="1" totalsRowCount="0" totalsRowShown="0">
  <x:tableColumns count="7">
    <x:tableColumn id="1" name="Category"/>
    <x:tableColumn id="2" name="Hero"/>
    <x:tableColumn id="3" name="Slot"/>
    <x:tableColumn id="4" name="Proposed path (missing)"/>
    <x:tableColumn id="5" name="Required content"/>
    <x:tableColumn id="6" name="Status"/>
    <x:tableColumn id="7" name="Notes / integr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iPolishDerivedAssets" displayName="UiPolishDerivedAssets" ref="A1:G9" headerRowCount="1" totalsRowCount="0" totalsRowShown="0">
  <x:tableColumns count="7">
    <x:tableColumn id="1" name="Manifest key"/>
    <x:tableColumn id="2" name="Output path"/>
    <x:tableColumn id="3" name="Original source"/>
    <x:tableColumn id="4" name="Pixel operation"/>
    <x:tableColumn id="5" name="Used on"/>
    <x:tableColumn id="6" name="Status"/>
    <x:tableColumn id="7" name="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c2a4a2676140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6f7f67d21949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4838c501b54d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547486c6e64d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da6019b81e4b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3385a9b6834c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6b8901fa2742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179482d26249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3a2b50b11544f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71ce5fedd93448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8" hidden="0" customWidth="1"/>
    <x:col min="4" max="4" width="49" hidden="0" customWidth="1"/>
    <x:col min="5" max="5" width="20" hidden="0" customWidth="1"/>
    <x:col min="6" max="6" width="20" hidden="0" customWidth="1"/>
  </x:cols>
  <x:sheetData>
    <x:row r="1" ht="25" customHeight="1">
      <x:c r="A1" s="59" t="str">
        <x:v>SUPER WISS / UI POLISH ASSET AUDIT</x:v>
      </x:c>
      <x:c r="B1" s="59"/>
      <x:c r="C1" s="59"/>
      <x:c r="D1" s="59"/>
      <x:c r="E1" s="22"/>
      <x:c r="F1" s="22"/>
    </x:row>
    <x:row r="2" ht="25" customHeight="1">
      <x:c r="A2" s="59"/>
      <x:c r="B2" s="59"/>
      <x:c r="C2" s="59"/>
      <x:c r="D2" s="59"/>
      <x:c r="E2" s="22"/>
      <x:c r="F2" s="22"/>
    </x:row>
    <x:row r="3" ht="36" customHeight="1">
      <x:c r="A3" s="62" t="str">
        <x:v>v1.4.1 • Source WIP • 2026-09-27 • No APK / AAB / device QA</x:v>
      </x:c>
      <x:c r="B3" s="62"/>
      <x:c r="C3" s="62"/>
      <x:c r="D3" s="62"/>
      <x:c r="E3" s="26"/>
      <x:c r="F3" s="26"/>
    </x:row>
    <x:row r="5" ht="32" customHeight="1">
      <x:c r="A5" s="29" t="str">
        <x:v>RUNTIME REGISTRATIONS</x:v>
      </x:c>
      <x:c r="B5" s="34" t="n">
        <x:f>COUNTA('Asset inventory'!A2:A424)</x:f>
        <x:v>423</x:v>
      </x:c>
      <x:c r="D5" s="69" t="str">
        <x:v>FIXED
Kael identity portrait; contain-fit previews; shared nine-slice corners/dividers; icon-only HUD; visible crouch cutout.
STILL PARTIAL
Exact mockup art/typeface; authored crouch and unarmed rigs; six-slot cosmetic art catalog.
See UI-POLISH-DELIVERY.md.</x:v>
      </x:c>
      <x:c r="E5" s="41"/>
      <x:c r="F5" s="41"/>
    </x:row>
    <x:row r="6" ht="32" customHeight="1">
      <x:c r="A6" s="29" t="str">
        <x:v>UI CROPS / DERIVED PIECES</x:v>
      </x:c>
      <x:c r="B6" s="34" t="n">
        <x:f>COUNTA('UI crops'!A2:A85)+COUNTA('UI polish additions'!A2:A9)</x:f>
        <x:v>92</x:v>
      </x:c>
      <x:c r="D6" s="69"/>
      <x:c r="E6" s="41"/>
      <x:c r="F6" s="41"/>
    </x:row>
    <x:row r="7" ht="32" customHeight="1">
      <x:c r="A7" s="29" t="str">
        <x:v>ORIGINAL WEAPON PNGs</x:v>
      </x:c>
      <x:c r="B7" s="34" t="n">
        <x:f>COUNTA('Weapon rules'!A2:A11)</x:f>
        <x:v>10</x:v>
      </x:c>
      <x:c r="D7" s="69"/>
      <x:c r="E7" s="41"/>
      <x:c r="F7" s="41"/>
    </x:row>
    <x:row r="8" ht="32" customHeight="1">
      <x:c r="A8" s="29" t="str">
        <x:v>HEROES</x:v>
      </x:c>
      <x:c r="B8" s="34" t="n">
        <x:f>COUNTA('Hero inputs'!A2:A11)</x:f>
        <x:v>10</x:v>
      </x:c>
      <x:c r="D8" s="69"/>
      <x:c r="E8" s="41"/>
      <x:c r="F8" s="41"/>
    </x:row>
    <x:row r="9" ht="32" customHeight="1">
      <x:c r="A9" s="29" t="str">
        <x:v>ART / RIG WORKLIST</x:v>
      </x:c>
      <x:c r="B9" s="34" t="n">
        <x:f>COUNTA('Missing art'!A2:A274)</x:f>
        <x:v>273</x:v>
      </x:c>
      <x:c r="D9" s="69"/>
      <x:c r="E9" s="41"/>
      <x:c r="F9" s="41"/>
    </x:row>
    <x:row r="10">
      <x:c r="D10" s="69"/>
    </x:row>
    <x:row r="11" ht="25" customHeight="1">
      <x:c r="A11" s="70" t="str">
        <x:v>Manifest entries and production work items are counted, not unique drawings. Earlier art and formula-driven ratings/eligibility are preserved.</x:v>
      </x:c>
      <x:c r="B11" s="70"/>
      <x:c r="C11" s="70"/>
      <x:c r="D11" s="69"/>
      <x:c r="E11" s="46"/>
      <x:c r="F11" s="46"/>
    </x:row>
    <x:row r="12" ht="25" customHeight="1">
      <x:c r="A12" s="70"/>
      <x:c r="B12" s="70"/>
      <x:c r="C12" s="70"/>
      <x:c r="D12" s="69"/>
      <x:c r="E12" s="46"/>
      <x:c r="F12" s="46"/>
    </x:row>
    <x:row r="14" ht="30" customHeight="1">
      <x:c r="A14" s="48" t="str">
        <x:v>Evidence</x:v>
      </x:c>
      <x:c r="B14" s="48" t="str">
        <x:v>Result</x:v>
      </x:c>
      <x:c r="C14" s="48" t="str">
        <x:v>Scope</x:v>
      </x:c>
    </x:row>
    <x:row r="15" ht="32" customHeight="1">
      <x:c r="A15" s="51" t="str">
        <x:v>Automated tests</x:v>
      </x:c>
      <x:c r="B15" s="53" t="n">
        <x:v>333</x:v>
      </x:c>
      <x:c r="C15" s="51" t="str">
        <x:v>333 passed; includes 42 new regression tests</x:v>
      </x:c>
    </x:row>
    <x:row r="16" ht="32" customHeight="1">
      <x:c r="A16" s="51" t="str">
        <x:v>Browser checks</x:v>
      </x:c>
      <x:c r="B16" s="53" t="n">
        <x:v>544</x:v>
      </x:c>
      <x:c r="C16" s="51" t="str">
        <x:v>544 passed at 3 viewports; not native/device QA</x:v>
      </x:c>
    </x:row>
    <x:row r="17" ht="32" customHeight="1">
      <x:c r="A17" s="51" t="str">
        <x:v>Reference mockups</x:v>
      </x:c>
      <x:c r="B17" s="53" t="n">
        <x:v>10</x:v>
      </x:c>
      <x:c r="C17" s="51" t="str">
        <x:v>All ten visually inspected</x:v>
      </x:c>
    </x:row>
    <x:row r="18" ht="32" customHeight="1">
      <x:c r="A18" s="51" t="str">
        <x:v>Read skill documents</x:v>
      </x:c>
      <x:c r="B18" s="53" t="n">
        <x:v>16</x:v>
      </x:c>
      <x:c r="C18" s="51" t="str">
        <x:v>Full local SKILL.md reads</x:v>
      </x:c>
    </x:row>
    <x:row r="19" ht="32" customHeight="1">
      <x:c r="A19" s="51" t="str">
        <x:v>Font families packaged</x:v>
      </x:c>
      <x:c r="B19" s="53" t="n">
        <x:v>0</x:v>
      </x:c>
      <x:c r="C19" s="51" t="str">
        <x:v>0 font binaries; runtime rasterized system-font title approximation</x:v>
      </x:c>
    </x:row>
  </x:sheetData>
  <x:mergeCells>
    <x:mergeCell ref="A1:D2"/>
    <x:mergeCell ref="A3:D3"/>
    <x:mergeCell ref="D5:D12"/>
    <x:mergeCell ref="A11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44" hidden="0" customWidth="1"/>
    <x:col min="3" max="3" width="54" hidden="0" customWidth="1"/>
    <x:col min="4" max="4" width="45" hidden="0" customWidth="1"/>
    <x:col min="5" max="5" width="66" hidden="0" customWidth="1"/>
  </x:cols>
  <x:sheetData>
    <x:row r="1" ht="34" customHeight="1">
      <x:c r="A1" s="10" t="str">
        <x:v>Asset filename</x:v>
      </x:c>
      <x:c r="B1" s="10" t="str">
        <x:v>Exact file path</x:v>
      </x:c>
      <x:c r="C1" s="10" t="str">
        <x:v>Where used in-game</x:v>
      </x:c>
      <x:c r="D1" s="10" t="str">
        <x:v>Source sheet / ZIP</x:v>
      </x:c>
      <x:c r="E1" s="10" t="str">
        <x:v>Notes</x:v>
      </x:c>
    </x:row>
    <x:row r="2" ht="48" customHeight="1">
      <x:c r="A2" s="4" t="str">
        <x:v>hero-wissem.png</x:v>
      </x:c>
      <x:c r="B2" s="4" t="str">
        <x:v>assets/animated/hero-wissem.png</x:v>
      </x:c>
      <x:c r="C2" s="4" t="str">
        <x:v>Hero selection, lobby, profile, combat; game/render.js drawHero / paintPortrait</x:v>
      </x:c>
      <x:c r="D2" s="4" t="str">
        <x:v>Super-Wiss-1.3.1-Source-Candidate.zip</x:v>
      </x:c>
      <x:c r="E2" s="4" t="str">
        <x:v>hero/wissem; 128×160, 14 frames; weaponLayer=separate; unchanged original asset bytes.</x:v>
      </x:c>
    </x:row>
    <x:row r="3" ht="48" customHeight="1">
      <x:c r="A3" s="4" t="str">
        <x:v>hero-kossay.png</x:v>
      </x:c>
      <x:c r="B3" s="4" t="str">
        <x:v>assets/animated/hero-kossay.png</x:v>
      </x:c>
      <x:c r="C3" s="4" t="str">
        <x:v>Hero selection, lobby, profile, combat; game/render.js drawHero / paintPortrait</x:v>
      </x:c>
      <x:c r="D3" s="4" t="str">
        <x:v>Super-Wiss-1.3.1-Source-Candidate.zip</x:v>
      </x:c>
      <x:c r="E3" s="4" t="str">
        <x:v>hero/kossay; 128×160, 14 frames; weaponLayer=baked; unchanged original asset bytes.</x:v>
      </x:c>
    </x:row>
    <x:row r="4" ht="48" customHeight="1">
      <x:c r="A4" s="4" t="str">
        <x:v>hero-yakine.png</x:v>
      </x:c>
      <x:c r="B4" s="4" t="str">
        <x:v>assets/animated/hero-yakine.png</x:v>
      </x:c>
      <x:c r="C4" s="4" t="str">
        <x:v>Hero selection, lobby, profile, combat; game/render.js drawHero / paintPortrait</x:v>
      </x:c>
      <x:c r="D4" s="4" t="str">
        <x:v>Super-Wiss-1.3.1-Source-Candidate.zip</x:v>
      </x:c>
      <x:c r="E4" s="4" t="str">
        <x:v>hero/yakine; 128×160, 14 frames; weaponLayer=baked; unchanged original asset bytes.</x:v>
      </x:c>
    </x:row>
    <x:row r="5" ht="48" customHeight="1">
      <x:c r="A5" s="4" t="str">
        <x:v>hero-taky.png</x:v>
      </x:c>
      <x:c r="B5" s="4" t="str">
        <x:v>assets/animated/hero-taky.png</x:v>
      </x:c>
      <x:c r="C5" s="4" t="str">
        <x:v>Hero selection, lobby, profile, combat; game/render.js drawHero / paintPortrait</x:v>
      </x:c>
      <x:c r="D5" s="4" t="str">
        <x:v>Super-Wiss-1.3.1-Source-Candidate.zip</x:v>
      </x:c>
      <x:c r="E5" s="4" t="str">
        <x:v>hero/taky; 128×160, 14 frames; weaponLayer=baked; unchanged original asset bytes.</x:v>
      </x:c>
    </x:row>
    <x:row r="6" ht="48" customHeight="1">
      <x:c r="A6" s="4" t="str">
        <x:v>hero-garsi.png</x:v>
      </x:c>
      <x:c r="B6" s="4" t="str">
        <x:v>assets/animated/hero-garsi.png</x:v>
      </x:c>
      <x:c r="C6" s="4" t="str">
        <x:v>Hero selection, lobby, profile, combat; game/render.js drawHero / paintPortrait</x:v>
      </x:c>
      <x:c r="D6" s="4" t="str">
        <x:v>Super-Wiss-1.3.1-Source-Candidate.zip</x:v>
      </x:c>
      <x:c r="E6" s="4" t="str">
        <x:v>hero/garsi; 128×160, 14 frames; weaponLayer=baked; unchanged original asset bytes.</x:v>
      </x:c>
    </x:row>
    <x:row r="7" ht="48" customHeight="1">
      <x:c r="A7" s="4" t="str">
        <x:v>hero-tounsi.png</x:v>
      </x:c>
      <x:c r="B7" s="4" t="str">
        <x:v>assets/animated/hero-tounsi.png</x:v>
      </x:c>
      <x:c r="C7" s="4" t="str">
        <x:v>Hero selection, lobby, profile, combat; game/render.js drawHero / paintPortrait</x:v>
      </x:c>
      <x:c r="D7" s="4" t="str">
        <x:v>Super-Wiss-1.3.1-Source-Candidate.zip</x:v>
      </x:c>
      <x:c r="E7" s="4" t="str">
        <x:v>hero/tounsi; 128×160, 14 frames; weaponLayer=baked; unchanged original asset bytes.</x:v>
      </x:c>
    </x:row>
    <x:row r="8" ht="48" customHeight="1">
      <x:c r="A8" s="4" t="str">
        <x:v>hero-youssef.png</x:v>
      </x:c>
      <x:c r="B8" s="4" t="str">
        <x:v>assets/animated/hero-youssef.png</x:v>
      </x:c>
      <x:c r="C8" s="4" t="str">
        <x:v>Hero selection, lobby, profile, combat; game/render.js drawHero / paintPortrait</x:v>
      </x:c>
      <x:c r="D8" s="4" t="str">
        <x:v>Super-Wiss-1.3.1-Source-Candidate.zip</x:v>
      </x:c>
      <x:c r="E8" s="4" t="str">
        <x:v>hero/youssef; 128×160, 14 frames; weaponLayer=baked; unchanged original asset bytes.</x:v>
      </x:c>
    </x:row>
    <x:row r="9" ht="48" customHeight="1">
      <x:c r="A9" s="4" t="str">
        <x:v>hero-loey.png</x:v>
      </x:c>
      <x:c r="B9" s="4" t="str">
        <x:v>assets/animated/hero-loey.png</x:v>
      </x:c>
      <x:c r="C9" s="4" t="str">
        <x:v>Hero selection, lobby, profile, combat; game/render.js drawHero / paintPortrait</x:v>
      </x:c>
      <x:c r="D9" s="4" t="str">
        <x:v>Super-Wiss-1.3.1-Source-Candidate.zip</x:v>
      </x:c>
      <x:c r="E9" s="4" t="str">
        <x:v>hero/loey; 128×160, 14 frames; weaponLayer=baked; unchanged original asset bytes.</x:v>
      </x:c>
    </x:row>
    <x:row r="10" ht="48" customHeight="1">
      <x:c r="A10" s="4" t="str">
        <x:v>enemy-slime.png</x:v>
      </x:c>
      <x:c r="B10" s="4" t="str">
        <x:v>assets/animated/enemy-slime.png</x:v>
      </x:c>
      <x:c r="C10" s="4" t="str">
        <x:v>Enemy combat rendering; game/render.js with engine state</x:v>
      </x:c>
      <x:c r="D10" s="4" t="str">
        <x:v>Super-Wiss-1.3.1-Source-Candidate.zip</x:v>
      </x:c>
      <x:c r="E10" s="4" t="str">
        <x:v>enemy/slime; 112×112, 8 frames; unchanged original asset bytes.</x:v>
      </x:c>
    </x:row>
    <x:row r="11" ht="48" customHeight="1">
      <x:c r="A11" s="4" t="str">
        <x:v>enemy-beetle.png</x:v>
      </x:c>
      <x:c r="B11" s="4" t="str">
        <x:v>assets/animated/enemy-beetle.png</x:v>
      </x:c>
      <x:c r="C11" s="4" t="str">
        <x:v>Enemy combat rendering; game/render.js with engine state</x:v>
      </x:c>
      <x:c r="D11" s="4" t="str">
        <x:v>Super-Wiss-1.3.1-Source-Candidate.zip</x:v>
      </x:c>
      <x:c r="E11" s="4" t="str">
        <x:v>enemy/beetle; 112×112, 8 frames; unchanged original asset bytes.</x:v>
      </x:c>
    </x:row>
    <x:row r="12" ht="48" customHeight="1">
      <x:c r="A12" s="4" t="str">
        <x:v>enemy-bat.png</x:v>
      </x:c>
      <x:c r="B12" s="4" t="str">
        <x:v>assets/animated/enemy-bat.png</x:v>
      </x:c>
      <x:c r="C12" s="4" t="str">
        <x:v>Enemy combat rendering; game/render.js with engine state</x:v>
      </x:c>
      <x:c r="D12" s="4" t="str">
        <x:v>Super-Wiss-1.3.1-Source-Candidate.zip</x:v>
      </x:c>
      <x:c r="E12" s="4" t="str">
        <x:v>enemy/bat; 112×112, 8 frames; unchanged original asset bytes.</x:v>
      </x:c>
    </x:row>
    <x:row r="13" ht="48" customHeight="1">
      <x:c r="A13" s="4" t="str">
        <x:v>enemy-crab.png</x:v>
      </x:c>
      <x:c r="B13" s="4" t="str">
        <x:v>assets/animated/enemy-crab.png</x:v>
      </x:c>
      <x:c r="C13" s="4" t="str">
        <x:v>Enemy combat rendering; game/render.js with engine state</x:v>
      </x:c>
      <x:c r="D13" s="4" t="str">
        <x:v>Super-Wiss-1.3.1-Source-Candidate.zip</x:v>
      </x:c>
      <x:c r="E13" s="4" t="str">
        <x:v>enemy/crab; 112×112, 8 frames; unchanged original asset bytes.</x:v>
      </x:c>
    </x:row>
    <x:row r="14" ht="48" customHeight="1">
      <x:c r="A14" s="4" t="str">
        <x:v>enemy-sentry.png</x:v>
      </x:c>
      <x:c r="B14" s="4" t="str">
        <x:v>assets/animated/enemy-sentry.png</x:v>
      </x:c>
      <x:c r="C14" s="4" t="str">
        <x:v>Enemy combat rendering; game/render.js with engine state</x:v>
      </x:c>
      <x:c r="D14" s="4" t="str">
        <x:v>Super-Wiss-1.3.1-Source-Candidate.zip</x:v>
      </x:c>
      <x:c r="E14" s="4" t="str">
        <x:v>enemy/sentry; 112×112, 8 frames; unchanged original asset bytes.</x:v>
      </x:c>
    </x:row>
    <x:row r="15" ht="48" customHeight="1">
      <x:c r="A15" s="4" t="str">
        <x:v>enemy-spiker.png</x:v>
      </x:c>
      <x:c r="B15" s="4" t="str">
        <x:v>assets/animated/enemy-spiker.png</x:v>
      </x:c>
      <x:c r="C15" s="4" t="str">
        <x:v>Enemy combat rendering; game/render.js with engine state</x:v>
      </x:c>
      <x:c r="D15" s="4" t="str">
        <x:v>Super-Wiss-1.3.1-Source-Candidate.zip</x:v>
      </x:c>
      <x:c r="E15" s="4" t="str">
        <x:v>enemy/spiker; 112×112, 8 frames; unchanged original asset bytes.</x:v>
      </x:c>
    </x:row>
    <x:row r="16" ht="48" customHeight="1">
      <x:c r="A16" s="4" t="str">
        <x:v>enemy-imp.png</x:v>
      </x:c>
      <x:c r="B16" s="4" t="str">
        <x:v>assets/animated/enemy-imp.png</x:v>
      </x:c>
      <x:c r="C16" s="4" t="str">
        <x:v>Enemy combat rendering; game/render.js with engine state</x:v>
      </x:c>
      <x:c r="D16" s="4" t="str">
        <x:v>Super-Wiss-1.3.1-Source-Candidate.zip</x:v>
      </x:c>
      <x:c r="E16" s="4" t="str">
        <x:v>enemy/imp; 112×112, 8 frames; unchanged original asset bytes.</x:v>
      </x:c>
    </x:row>
    <x:row r="17" ht="48" customHeight="1">
      <x:c r="A17" s="4" t="str">
        <x:v>enemy-ninja.png</x:v>
      </x:c>
      <x:c r="B17" s="4" t="str">
        <x:v>assets/animated/enemy-ninja.png</x:v>
      </x:c>
      <x:c r="C17" s="4" t="str">
        <x:v>Enemy combat rendering; game/render.js with engine state</x:v>
      </x:c>
      <x:c r="D17" s="4" t="str">
        <x:v>Super-Wiss-1.3.1-Source-Candidate.zip</x:v>
      </x:c>
      <x:c r="E17" s="4" t="str">
        <x:v>enemy/ninja; 112×112, 8 frames; unchanged original asset bytes.</x:v>
      </x:c>
    </x:row>
    <x:row r="18" ht="48" customHeight="1">
      <x:c r="A18" s="4" t="str">
        <x:v>enemy-wisp.png</x:v>
      </x:c>
      <x:c r="B18" s="4" t="str">
        <x:v>assets/animated/enemy-wisp.png</x:v>
      </x:c>
      <x:c r="C18" s="4" t="str">
        <x:v>Enemy combat rendering; game/render.js with engine state</x:v>
      </x:c>
      <x:c r="D18" s="4" t="str">
        <x:v>Super-Wiss-1.3.1-Source-Candidate.zip</x:v>
      </x:c>
      <x:c r="E18" s="4" t="str">
        <x:v>enemy/wisp; 112×112, 8 frames; unchanged original asset bytes.</x:v>
      </x:c>
    </x:row>
    <x:row r="19" ht="48" customHeight="1">
      <x:c r="A19" s="4" t="str">
        <x:v>enemy-maw.png</x:v>
      </x:c>
      <x:c r="B19" s="4" t="str">
        <x:v>assets/animated/enemy-maw.png</x:v>
      </x:c>
      <x:c r="C19" s="4" t="str">
        <x:v>Enemy combat rendering; game/render.js with engine state</x:v>
      </x:c>
      <x:c r="D19" s="4" t="str">
        <x:v>Super-Wiss-1.3.1-Source-Candidate.zip</x:v>
      </x:c>
      <x:c r="E19" s="4" t="str">
        <x:v>enemy/maw; 112×112, 8 frames; unchanged original asset bytes.</x:v>
      </x:c>
    </x:row>
    <x:row r="20" ht="48" customHeight="1">
      <x:c r="A20" s="4" t="str">
        <x:v>enemy-golem.png</x:v>
      </x:c>
      <x:c r="B20" s="4" t="str">
        <x:v>assets/animated/enemy-golem.png</x:v>
      </x:c>
      <x:c r="C20" s="4" t="str">
        <x:v>Enemy combat rendering; game/render.js with engine state</x:v>
      </x:c>
      <x:c r="D20" s="4" t="str">
        <x:v>Super-Wiss-1.3.1-Source-Candidate.zip</x:v>
      </x:c>
      <x:c r="E20" s="4" t="str">
        <x:v>enemy/golem; 112×112, 8 frames; unchanged original asset bytes.</x:v>
      </x:c>
    </x:row>
    <x:row r="21" ht="48" customHeight="1">
      <x:c r="A21" s="4" t="str">
        <x:v>enemy-drone.png</x:v>
      </x:c>
      <x:c r="B21" s="4" t="str">
        <x:v>assets/animated/enemy-drone.png</x:v>
      </x:c>
      <x:c r="C21" s="4" t="str">
        <x:v>Enemy combat rendering; game/render.js with engine state</x:v>
      </x:c>
      <x:c r="D21" s="4" t="str">
        <x:v>Super-Wiss-1.3.1-Source-Candidate.zip</x:v>
      </x:c>
      <x:c r="E21" s="4" t="str">
        <x:v>enemy/drone; 112×112, 8 frames; unchanged original asset bytes.</x:v>
      </x:c>
    </x:row>
    <x:row r="22" ht="48" customHeight="1">
      <x:c r="A22" s="4" t="str">
        <x:v>enemy-hopper.png</x:v>
      </x:c>
      <x:c r="B22" s="4" t="str">
        <x:v>assets/animated/enemy-hopper.png</x:v>
      </x:c>
      <x:c r="C22" s="4" t="str">
        <x:v>Enemy combat rendering; game/render.js with engine state</x:v>
      </x:c>
      <x:c r="D22" s="4" t="str">
        <x:v>Super-Wiss-1.3.1-Source-Candidate.zip</x:v>
      </x:c>
      <x:c r="E22" s="4" t="str">
        <x:v>enemy/hopper; 112×112, 8 frames; unchanged original asset bytes.</x:v>
      </x:c>
    </x:row>
    <x:row r="23" ht="48" customHeight="1">
      <x:c r="A23" s="4" t="str">
        <x:v>shield.png</x:v>
      </x:c>
      <x:c r="B23" s="4" t="str">
        <x:v>assets/powers/shield.png</x:v>
      </x:c>
      <x:c r="C23" s="4" t="str">
        <x:v>Combat power-up presentation; game/render.js / engine.js</x:v>
      </x:c>
      <x:c r="D23" s="4" t="str">
        <x:v>Super-Wiss-1.3.1-Source-Candidate.zip</x:v>
      </x:c>
      <x:c r="E23" s="4" t="str">
        <x:v>power/shield; 64×64, 1 frames; unchanged original asset bytes.</x:v>
      </x:c>
    </x:row>
    <x:row r="24" ht="48" customHeight="1">
      <x:c r="A24" s="4" t="str">
        <x:v>nova.png</x:v>
      </x:c>
      <x:c r="B24" s="4" t="str">
        <x:v>assets/powers/nova.png</x:v>
      </x:c>
      <x:c r="C24" s="4" t="str">
        <x:v>Combat power-up presentation; game/render.js / engine.js</x:v>
      </x:c>
      <x:c r="D24" s="4" t="str">
        <x:v>Super-Wiss-1.3.1-Source-Candidate.zip</x:v>
      </x:c>
      <x:c r="E24" s="4" t="str">
        <x:v>power/nova; 64×64, 1 frames; unchanged original asset bytes.</x:v>
      </x:c>
    </x:row>
    <x:row r="25" ht="48" customHeight="1">
      <x:c r="A25" s="4" t="str">
        <x:v>fire.png</x:v>
      </x:c>
      <x:c r="B25" s="4" t="str">
        <x:v>assets/powers/fire.png</x:v>
      </x:c>
      <x:c r="C25" s="4" t="str">
        <x:v>Combat power-up presentation; game/render.js / engine.js</x:v>
      </x:c>
      <x:c r="D25" s="4" t="str">
        <x:v>Super-Wiss-1.3.1-Source-Candidate.zip</x:v>
      </x:c>
      <x:c r="E25" s="4" t="str">
        <x:v>power/fire; 64×64, 1 frames; unchanged original asset bytes.</x:v>
      </x:c>
    </x:row>
    <x:row r="26" ht="48" customHeight="1">
      <x:c r="A26" s="4" t="str">
        <x:v>ice.png</x:v>
      </x:c>
      <x:c r="B26" s="4" t="str">
        <x:v>assets/powers/ice.png</x:v>
      </x:c>
      <x:c r="C26" s="4" t="str">
        <x:v>Combat power-up presentation; game/render.js / engine.js</x:v>
      </x:c>
      <x:c r="D26" s="4" t="str">
        <x:v>Super-Wiss-1.3.1-Source-Candidate.zip</x:v>
      </x:c>
      <x:c r="E26" s="4" t="str">
        <x:v>power/ice; 64×64, 1 frames; unchanged original asset bytes.</x:v>
      </x:c>
    </x:row>
    <x:row r="27" ht="48" customHeight="1">
      <x:c r="A27" s="4" t="str">
        <x:v>magnet.png</x:v>
      </x:c>
      <x:c r="B27" s="4" t="str">
        <x:v>assets/powers/magnet.png</x:v>
      </x:c>
      <x:c r="C27" s="4" t="str">
        <x:v>Combat power-up presentation; game/render.js / engine.js</x:v>
      </x:c>
      <x:c r="D27" s="4" t="str">
        <x:v>Super-Wiss-1.3.1-Source-Candidate.zip</x:v>
      </x:c>
      <x:c r="E27" s="4" t="str">
        <x:v>power/magnet; 64×64, 1 frames; unchanged original asset bytes.</x:v>
      </x:c>
    </x:row>
    <x:row r="28" ht="48" customHeight="1">
      <x:c r="A28" s="4" t="str">
        <x:v>haste.png</x:v>
      </x:c>
      <x:c r="B28" s="4" t="str">
        <x:v>assets/powers/haste.png</x:v>
      </x:c>
      <x:c r="C28" s="4" t="str">
        <x:v>Combat power-up presentation; game/render.js / engine.js</x:v>
      </x:c>
      <x:c r="D28" s="4" t="str">
        <x:v>Super-Wiss-1.3.1-Source-Candidate.zip</x:v>
      </x:c>
      <x:c r="E28" s="4" t="str">
        <x:v>power/haste; 64×64, 1 frames; unchanged original asset bytes.</x:v>
      </x:c>
    </x:row>
    <x:row r="29" ht="48" customHeight="1">
      <x:c r="A29" s="4" t="str">
        <x:v>giant.png</x:v>
      </x:c>
      <x:c r="B29" s="4" t="str">
        <x:v>assets/powers/giant.png</x:v>
      </x:c>
      <x:c r="C29" s="4" t="str">
        <x:v>Combat power-up presentation; game/render.js / engine.js</x:v>
      </x:c>
      <x:c r="D29" s="4" t="str">
        <x:v>Super-Wiss-1.3.1-Source-Candidate.zip</x:v>
      </x:c>
      <x:c r="E29" s="4" t="str">
        <x:v>power/giant; 64×64, 1 frames; unchanged original asset bytes.</x:v>
      </x:c>
    </x:row>
    <x:row r="30" ht="48" customHeight="1">
      <x:c r="A30" s="4" t="str">
        <x:v>double.png</x:v>
      </x:c>
      <x:c r="B30" s="4" t="str">
        <x:v>assets/powers/double.png</x:v>
      </x:c>
      <x:c r="C30" s="4" t="str">
        <x:v>Combat power-up presentation; game/render.js / engine.js</x:v>
      </x:c>
      <x:c r="D30" s="4" t="str">
        <x:v>Super-Wiss-1.3.1-Source-Candidate.zip</x:v>
      </x:c>
      <x:c r="E30" s="4" t="str">
        <x:v>power/double; 64×64, 1 frames; unchanged original asset bytes.</x:v>
      </x:c>
    </x:row>
    <x:row r="31" ht="48" customHeight="1">
      <x:c r="A31" s="4" t="str">
        <x:v>thunder.png</x:v>
      </x:c>
      <x:c r="B31" s="4" t="str">
        <x:v>assets/powers/thunder.png</x:v>
      </x:c>
      <x:c r="C31" s="4" t="str">
        <x:v>Combat power-up presentation; game/render.js / engine.js</x:v>
      </x:c>
      <x:c r="D31" s="4" t="str">
        <x:v>Super-Wiss-1.3.1-Source-Candidate.zip</x:v>
      </x:c>
      <x:c r="E31" s="4" t="str">
        <x:v>power/thunder; 64×64, 1 frames; unchanged original asset bytes.</x:v>
      </x:c>
    </x:row>
    <x:row r="32" ht="48" customHeight="1">
      <x:c r="A32" s="4" t="str">
        <x:v>phase.png</x:v>
      </x:c>
      <x:c r="B32" s="4" t="str">
        <x:v>assets/powers/phase.png</x:v>
      </x:c>
      <x:c r="C32" s="4" t="str">
        <x:v>Combat power-up presentation; game/render.js / engine.js</x:v>
      </x:c>
      <x:c r="D32" s="4" t="str">
        <x:v>Super-Wiss-1.3.1-Source-Candidate.zip</x:v>
      </x:c>
      <x:c r="E32" s="4" t="str">
        <x:v>power/phase; 64×64, 1 frames; unchanged original asset bytes.</x:v>
      </x:c>
    </x:row>
    <x:row r="33" ht="48" customHeight="1">
      <x:c r="A33" s="4" t="str">
        <x:v>heart.png</x:v>
      </x:c>
      <x:c r="B33" s="4" t="str">
        <x:v>assets/powers/heart.png</x:v>
      </x:c>
      <x:c r="C33" s="4" t="str">
        <x:v>Combat power-up presentation; game/render.js / engine.js</x:v>
      </x:c>
      <x:c r="D33" s="4" t="str">
        <x:v>Super-Wiss-1.3.1-Source-Candidate.zip</x:v>
      </x:c>
      <x:c r="E33" s="4" t="str">
        <x:v>power/heart; 64×64, 1 frames; unchanged original asset bytes.</x:v>
      </x:c>
    </x:row>
    <x:row r="34" ht="48" customHeight="1">
      <x:c r="A34" s="4" t="str">
        <x:v>spark.png</x:v>
      </x:c>
      <x:c r="B34" s="4" t="str">
        <x:v>assets/powers/spark.png</x:v>
      </x:c>
      <x:c r="C34" s="4" t="str">
        <x:v>Combat power-up presentation; game/render.js / engine.js</x:v>
      </x:c>
      <x:c r="D34" s="4" t="str">
        <x:v>Super-Wiss-1.3.1-Source-Candidate.zip</x:v>
      </x:c>
      <x:c r="E34" s="4" t="str">
        <x:v>power/spark; 64×64, 1 frames; unchanged original asset bytes.</x:v>
      </x:c>
    </x:row>
    <x:row r="35" ht="48" customHeight="1">
      <x:c r="A35" s="4" t="str">
        <x:v>rescue.png</x:v>
      </x:c>
      <x:c r="B35" s="4" t="str">
        <x:v>assets/powers/rescue.png</x:v>
      </x:c>
      <x:c r="C35" s="4" t="str">
        <x:v>Combat power-up presentation; game/render.js / engine.js</x:v>
      </x:c>
      <x:c r="D35" s="4" t="str">
        <x:v>Super-Wiss-1.3.1-Source-Candidate.zip</x:v>
      </x:c>
      <x:c r="E35" s="4" t="str">
        <x:v>power/rescue; 64×64, 1 frames; unchanged original asset bytes.</x:v>
      </x:c>
    </x:row>
    <x:row r="36" ht="48" customHeight="1">
      <x:c r="A36" s="4" t="str">
        <x:v>bomb.png</x:v>
      </x:c>
      <x:c r="B36" s="4" t="str">
        <x:v>assets/powers/bomb.png</x:v>
      </x:c>
      <x:c r="C36" s="4" t="str">
        <x:v>Combat power-up presentation; game/render.js / engine.js</x:v>
      </x:c>
      <x:c r="D36" s="4" t="str">
        <x:v>Super-Wiss-1.3.1-Source-Candidate.zip</x:v>
      </x:c>
      <x:c r="E36" s="4" t="str">
        <x:v>power/bomb; 64×64, 1 frames; unchanged original asset bytes.</x:v>
      </x:c>
    </x:row>
    <x:row r="37" ht="48" customHeight="1">
      <x:c r="A37" s="4" t="str">
        <x:v>pet-wolf.png</x:v>
      </x:c>
      <x:c r="B37" s="4" t="str">
        <x:v>assets/animated/pet-wolf.png</x:v>
      </x:c>
      <x:c r="C37" s="4" t="str">
        <x:v>Companion selection, detail preview, summoned combat companion; render.js / ascension-ui.js</x:v>
      </x:c>
      <x:c r="D37" s="4" t="str">
        <x:v>Super-Wiss-1.3.1-Source-Candidate.zip</x:v>
      </x:c>
      <x:c r="E37" s="4" t="str">
        <x:v>pet/wolf; 160×128, 8 frames; unchanged original asset bytes.</x:v>
      </x:c>
    </x:row>
    <x:row r="38" ht="48" customHeight="1">
      <x:c r="A38" s="4" t="str">
        <x:v>pet-eagle.png</x:v>
      </x:c>
      <x:c r="B38" s="4" t="str">
        <x:v>assets/animated/pet-eagle.png</x:v>
      </x:c>
      <x:c r="C38" s="4" t="str">
        <x:v>Companion selection, detail preview, summoned combat companion; render.js / ascension-ui.js</x:v>
      </x:c>
      <x:c r="D38" s="4" t="str">
        <x:v>Super-Wiss-1.3.1-Source-Candidate.zip</x:v>
      </x:c>
      <x:c r="E38" s="4" t="str">
        <x:v>pet/eagle; 160×128, 8 frames; unchanged original asset bytes.</x:v>
      </x:c>
    </x:row>
    <x:row r="39" ht="48" customHeight="1">
      <x:c r="A39" s="4" t="str">
        <x:v>pet-mole.png</x:v>
      </x:c>
      <x:c r="B39" s="4" t="str">
        <x:v>assets/animated/pet-mole.png</x:v>
      </x:c>
      <x:c r="C39" s="4" t="str">
        <x:v>Companion selection, detail preview, summoned combat companion; render.js / ascension-ui.js</x:v>
      </x:c>
      <x:c r="D39" s="4" t="str">
        <x:v>Super-Wiss-1.3.1-Source-Candidate.zip</x:v>
      </x:c>
      <x:c r="E39" s="4" t="str">
        <x:v>pet/mole; 160×128, 8 frames; unchanged original asset bytes.</x:v>
      </x:c>
    </x:row>
    <x:row r="40" ht="48" customHeight="1">
      <x:c r="A40" s="4" t="str">
        <x:v>pet-fox.png</x:v>
      </x:c>
      <x:c r="B40" s="4" t="str">
        <x:v>assets/animated/pet-fox.png</x:v>
      </x:c>
      <x:c r="C40" s="4" t="str">
        <x:v>Companion selection, detail preview, summoned combat companion; render.js / ascension-ui.js</x:v>
      </x:c>
      <x:c r="D40" s="4" t="str">
        <x:v>Super-Wiss-1.3.1-Source-Candidate.zip</x:v>
      </x:c>
      <x:c r="E40" s="4" t="str">
        <x:v>pet/fox; 160×128, 8 frames; unchanged original asset bytes.</x:v>
      </x:c>
    </x:row>
    <x:row r="41" ht="48" customHeight="1">
      <x:c r="A41" s="4" t="str">
        <x:v>pet-turtle.png</x:v>
      </x:c>
      <x:c r="B41" s="4" t="str">
        <x:v>assets/animated/pet-turtle.png</x:v>
      </x:c>
      <x:c r="C41" s="4" t="str">
        <x:v>Companion selection, detail preview, summoned combat companion; render.js / ascension-ui.js</x:v>
      </x:c>
      <x:c r="D41" s="4" t="str">
        <x:v>Super-Wiss-1.3.1-Source-Candidate.zip</x:v>
      </x:c>
      <x:c r="E41" s="4" t="str">
        <x:v>pet/turtle; 160×128, 8 frames; unchanged original asset bytes.</x:v>
      </x:c>
    </x:row>
    <x:row r="42" ht="48" customHeight="1">
      <x:c r="A42" s="4" t="str">
        <x:v>pet-dragon.png</x:v>
      </x:c>
      <x:c r="B42" s="4" t="str">
        <x:v>assets/animated/pet-dragon.png</x:v>
      </x:c>
      <x:c r="C42" s="4" t="str">
        <x:v>Companion selection, detail preview, summoned combat companion; render.js / ascension-ui.js</x:v>
      </x:c>
      <x:c r="D42" s="4" t="str">
        <x:v>Super-Wiss-1.3.1-Source-Candidate.zip</x:v>
      </x:c>
      <x:c r="E42" s="4" t="str">
        <x:v>pet/dragon; 160×128, 8 frames; unchanged original asset bytes.</x:v>
      </x:c>
    </x:row>
    <x:row r="43" ht="48" customHeight="1">
      <x:c r="A43" s="4" t="str">
        <x:v>pet-orca.png</x:v>
      </x:c>
      <x:c r="B43" s="4" t="str">
        <x:v>assets/animated/pet-orca.png</x:v>
      </x:c>
      <x:c r="C43" s="4" t="str">
        <x:v>Companion selection, detail preview, summoned combat companion; render.js / ascension-ui.js</x:v>
      </x:c>
      <x:c r="D43" s="4" t="str">
        <x:v>Super-Wiss-1.3.1-Source-Candidate.zip</x:v>
      </x:c>
      <x:c r="E43" s="4" t="str">
        <x:v>pet/orca; 160×128, 8 frames; unchanged original asset bytes.</x:v>
      </x:c>
    </x:row>
    <x:row r="44" ht="48" customHeight="1">
      <x:c r="A44" s="4" t="str">
        <x:v>coin-spin.png</x:v>
      </x:c>
      <x:c r="B44" s="4" t="str">
        <x:v>assets/powers/coin-spin.png</x:v>
      </x:c>
      <x:c r="C44" s="4" t="str">
        <x:v>World collectible currency; game/render.js drawCoin</x:v>
      </x:c>
      <x:c r="D44" s="4" t="str">
        <x:v>Super-Wiss-1.3.1-Source-Candidate.zip</x:v>
      </x:c>
      <x:c r="E44" s="4" t="str">
        <x:v>coin; 40×48, 8 frames; unchanged original asset bytes.</x:v>
      </x:c>
    </x:row>
    <x:row r="45" ht="48" customHeight="1">
      <x:c r="A45" s="4" t="str">
        <x:v>chest.png</x:v>
      </x:c>
      <x:c r="B45" s="4" t="str">
        <x:v>assets/powers/chest.png</x:v>
      </x:c>
      <x:c r="C45" s="4" t="str">
        <x:v>World chest object; game/render.js</x:v>
      </x:c>
      <x:c r="D45" s="4" t="str">
        <x:v>Super-Wiss-1.3.1-Source-Candidate.zip</x:v>
      </x:c>
      <x:c r="E45" s="4" t="str">
        <x:v>chest; 80×64, 1 frames; unchanged original asset bytes.</x:v>
      </x:c>
    </x:row>
    <x:row r="46" ht="48" customHeight="1">
      <x:c r="A46" s="4" t="str">
        <x:v>shrine.png</x:v>
      </x:c>
      <x:c r="B46" s="4" t="str">
        <x:v>assets/powers/shrine.png</x:v>
      </x:c>
      <x:c r="C46" s="4" t="str">
        <x:v>World shrine object; game/render.js</x:v>
      </x:c>
      <x:c r="D46" s="4" t="str">
        <x:v>Super-Wiss-1.3.1-Source-Candidate.zip</x:v>
      </x:c>
      <x:c r="E46" s="4" t="str">
        <x:v>shrine; 80×64, 1 frames; unchanged original asset bytes.</x:v>
      </x:c>
    </x:row>
    <x:row r="47" ht="48" customHeight="1">
      <x:c r="A47" s="4" t="str">
        <x:v>cosmic.png</x:v>
      </x:c>
      <x:c r="B47" s="4" t="str">
        <x:v>assets/backgrounds/cosmic.png</x:v>
      </x:c>
      <x:c r="C47" s="4" t="str">
        <x:v>Original world/menu background; game/render.js</x:v>
      </x:c>
      <x:c r="D47" s="4" t="str">
        <x:v>Super-Wiss-1.3.1-Source-Candidate.zip</x:v>
      </x:c>
      <x:c r="E47" s="4" t="str">
        <x:v>background/cosmic; ?×?, 1 frames; unchanged original asset bytes.</x:v>
      </x:c>
    </x:row>
    <x:row r="48" ht="48" customHeight="1">
      <x:c r="A48" s="4" t="str">
        <x:v>sky.png</x:v>
      </x:c>
      <x:c r="B48" s="4" t="str">
        <x:v>assets/backgrounds/sky.png</x:v>
      </x:c>
      <x:c r="C48" s="4" t="str">
        <x:v>Original world/menu background; game/render.js</x:v>
      </x:c>
      <x:c r="D48" s="4" t="str">
        <x:v>Super-Wiss-1.3.1-Source-Candidate.zip</x:v>
      </x:c>
      <x:c r="E48" s="4" t="str">
        <x:v>background/sky; ?×?, 1 frames; unchanged original asset bytes.</x:v>
      </x:c>
    </x:row>
    <x:row r="49" ht="48" customHeight="1">
      <x:c r="A49" s="4" t="str">
        <x:v>logo.png</x:v>
      </x:c>
      <x:c r="B49" s="4" t="str">
        <x:v>assets/ui/logo.png</x:v>
      </x:c>
      <x:c r="C49" s="4" t="str">
        <x:v>Original branding/legacy presentation; manifest-backed art</x:v>
      </x:c>
      <x:c r="D49" s="4" t="str">
        <x:v>Super-Wiss-1.3.1-Source-Candidate.zip</x:v>
      </x:c>
      <x:c r="E49" s="4" t="str">
        <x:v>logo; ?×?, 1 frames; unchanged original asset bytes.</x:v>
      </x:c>
    </x:row>
    <x:row r="50" ht="48" customHeight="1">
      <x:c r="A50" s="4" t="str">
        <x:v>map-0.png</x:v>
      </x:c>
      <x:c r="B50" s="4" t="str">
        <x:v>assets/backgrounds/map-0.png</x:v>
      </x:c>
      <x:c r="C50" s="4" t="str">
        <x:v>World selection thumbnails and selected-world detail; game/app.js / upgrade-ui.js</x:v>
      </x:c>
      <x:c r="D50" s="4" t="str">
        <x:v>Super-Wiss-1.3.1-Source-Candidate.zip</x:v>
      </x:c>
      <x:c r="E50" s="4" t="str">
        <x:v>map/0; ?×?, 1 frames; unchanged original asset bytes.</x:v>
      </x:c>
    </x:row>
    <x:row r="51" ht="48" customHeight="1">
      <x:c r="A51" s="4" t="str">
        <x:v>map-1.png</x:v>
      </x:c>
      <x:c r="B51" s="4" t="str">
        <x:v>assets/backgrounds/map-1.png</x:v>
      </x:c>
      <x:c r="C51" s="4" t="str">
        <x:v>World selection thumbnails and selected-world detail; game/app.js / upgrade-ui.js</x:v>
      </x:c>
      <x:c r="D51" s="4" t="str">
        <x:v>Super-Wiss-1.3.1-Source-Candidate.zip</x:v>
      </x:c>
      <x:c r="E51" s="4" t="str">
        <x:v>map/1; ?×?, 1 frames; unchanged original asset bytes.</x:v>
      </x:c>
    </x:row>
    <x:row r="52" ht="48" customHeight="1">
      <x:c r="A52" s="4" t="str">
        <x:v>map-2.png</x:v>
      </x:c>
      <x:c r="B52" s="4" t="str">
        <x:v>assets/backgrounds/map-2.png</x:v>
      </x:c>
      <x:c r="C52" s="4" t="str">
        <x:v>World selection thumbnails and selected-world detail; game/app.js / upgrade-ui.js</x:v>
      </x:c>
      <x:c r="D52" s="4" t="str">
        <x:v>Super-Wiss-1.3.1-Source-Candidate.zip</x:v>
      </x:c>
      <x:c r="E52" s="4" t="str">
        <x:v>map/2; ?×?, 1 frames; unchanged original asset bytes.</x:v>
      </x:c>
    </x:row>
    <x:row r="53" ht="48" customHeight="1">
      <x:c r="A53" s="4" t="str">
        <x:v>map-3.png</x:v>
      </x:c>
      <x:c r="B53" s="4" t="str">
        <x:v>assets/backgrounds/map-3.png</x:v>
      </x:c>
      <x:c r="C53" s="4" t="str">
        <x:v>World selection thumbnails and selected-world detail; game/app.js / upgrade-ui.js</x:v>
      </x:c>
      <x:c r="D53" s="4" t="str">
        <x:v>Super-Wiss-1.3.1-Source-Candidate.zip</x:v>
      </x:c>
      <x:c r="E53" s="4" t="str">
        <x:v>map/3; ?×?, 1 frames; unchanged original asset bytes.</x:v>
      </x:c>
    </x:row>
    <x:row r="54" ht="48" customHeight="1">
      <x:c r="A54" s="4" t="str">
        <x:v>map-4.png</x:v>
      </x:c>
      <x:c r="B54" s="4" t="str">
        <x:v>assets/backgrounds/map-4.png</x:v>
      </x:c>
      <x:c r="C54" s="4" t="str">
        <x:v>World selection thumbnails and selected-world detail; game/app.js / upgrade-ui.js</x:v>
      </x:c>
      <x:c r="D54" s="4" t="str">
        <x:v>Super-Wiss-1.3.1-Source-Candidate.zip</x:v>
      </x:c>
      <x:c r="E54" s="4" t="str">
        <x:v>map/4; ?×?, 1 frames; unchanged original asset bytes.</x:v>
      </x:c>
    </x:row>
    <x:row r="55" ht="48" customHeight="1">
      <x:c r="A55" s="4" t="str">
        <x:v>map-5.png</x:v>
      </x:c>
      <x:c r="B55" s="4" t="str">
        <x:v>assets/backgrounds/map-5.png</x:v>
      </x:c>
      <x:c r="C55" s="4" t="str">
        <x:v>World selection thumbnails and selected-world detail; game/app.js / upgrade-ui.js</x:v>
      </x:c>
      <x:c r="D55" s="4" t="str">
        <x:v>Super-Wiss-1.3.1-Source-Candidate.zip</x:v>
      </x:c>
      <x:c r="E55" s="4" t="str">
        <x:v>map/5; ?×?, 1 frames; unchanged original asset bytes.</x:v>
      </x:c>
    </x:row>
    <x:row r="56" ht="48" customHeight="1">
      <x:c r="A56" s="4" t="str">
        <x:v>map-6.png</x:v>
      </x:c>
      <x:c r="B56" s="4" t="str">
        <x:v>assets/backgrounds/map-6.png</x:v>
      </x:c>
      <x:c r="C56" s="4" t="str">
        <x:v>World selection thumbnails and selected-world detail; game/app.js / upgrade-ui.js</x:v>
      </x:c>
      <x:c r="D56" s="4" t="str">
        <x:v>Super-Wiss-1.3.1-Source-Candidate.zip</x:v>
      </x:c>
      <x:c r="E56" s="4" t="str">
        <x:v>map/6; ?×?, 1 frames; unchanged original asset bytes.</x:v>
      </x:c>
    </x:row>
    <x:row r="57" ht="48" customHeight="1">
      <x:c r="A57" s="4" t="str">
        <x:v>map-7.png</x:v>
      </x:c>
      <x:c r="B57" s="4" t="str">
        <x:v>assets/backgrounds/map-7.png</x:v>
      </x:c>
      <x:c r="C57" s="4" t="str">
        <x:v>World selection thumbnails and selected-world detail; game/app.js / upgrade-ui.js</x:v>
      </x:c>
      <x:c r="D57" s="4" t="str">
        <x:v>Super-Wiss-1.3.1-Source-Candidate.zip</x:v>
      </x:c>
      <x:c r="E57" s="4" t="str">
        <x:v>map/7; ?×?, 1 frames; unchanged original asset bytes.</x:v>
      </x:c>
    </x:row>
    <x:row r="58" ht="48" customHeight="1">
      <x:c r="A58" s="4" t="str">
        <x:v>map-8.png</x:v>
      </x:c>
      <x:c r="B58" s="4" t="str">
        <x:v>assets/backgrounds/map-8.png</x:v>
      </x:c>
      <x:c r="C58" s="4" t="str">
        <x:v>World selection thumbnails and selected-world detail; game/app.js / upgrade-ui.js</x:v>
      </x:c>
      <x:c r="D58" s="4" t="str">
        <x:v>Super-Wiss-1.3.1-Source-Candidate.zip</x:v>
      </x:c>
      <x:c r="E58" s="4" t="str">
        <x:v>map/8; ?×?, 1 frames; unchanged original asset bytes.</x:v>
      </x:c>
    </x:row>
    <x:row r="59" ht="48" customHeight="1">
      <x:c r="A59" s="4" t="str">
        <x:v>map-9.png</x:v>
      </x:c>
      <x:c r="B59" s="4" t="str">
        <x:v>assets/backgrounds/map-9.png</x:v>
      </x:c>
      <x:c r="C59" s="4" t="str">
        <x:v>World selection thumbnails and selected-world detail; game/app.js / upgrade-ui.js</x:v>
      </x:c>
      <x:c r="D59" s="4" t="str">
        <x:v>Super-Wiss-1.3.1-Source-Candidate.zip</x:v>
      </x:c>
      <x:c r="E59" s="4" t="str">
        <x:v>map/9; ?×?, 1 frames; unchanged original asset bytes.</x:v>
      </x:c>
    </x:row>
    <x:row r="60" ht="48" customHeight="1">
      <x:c r="A60" s="4" t="str">
        <x:v>map-10.png</x:v>
      </x:c>
      <x:c r="B60" s="4" t="str">
        <x:v>assets/backgrounds/map-10.png</x:v>
      </x:c>
      <x:c r="C60" s="4" t="str">
        <x:v>World selection thumbnails and selected-world detail; game/app.js / upgrade-ui.js</x:v>
      </x:c>
      <x:c r="D60" s="4" t="str">
        <x:v>Super-Wiss-1.3.1-Source-Candidate.zip</x:v>
      </x:c>
      <x:c r="E60" s="4" t="str">
        <x:v>map/10; ?×?, 1 frames; unchanged original asset bytes.</x:v>
      </x:c>
    </x:row>
    <x:row r="61" ht="48" customHeight="1">
      <x:c r="A61" s="4" t="str">
        <x:v>map-11.png</x:v>
      </x:c>
      <x:c r="B61" s="4" t="str">
        <x:v>assets/backgrounds/map-11.png</x:v>
      </x:c>
      <x:c r="C61" s="4" t="str">
        <x:v>World selection thumbnails and selected-world detail; game/app.js / upgrade-ui.js</x:v>
      </x:c>
      <x:c r="D61" s="4" t="str">
        <x:v>Super-Wiss-1.3.1-Source-Candidate.zip</x:v>
      </x:c>
      <x:c r="E61" s="4" t="str">
        <x:v>map/11; ?×?, 1 frames; unchanged original asset bytes.</x:v>
      </x:c>
    </x:row>
    <x:row r="62" ht="48" customHeight="1">
      <x:c r="A62" s="4" t="str">
        <x:v>map-12.png</x:v>
      </x:c>
      <x:c r="B62" s="4" t="str">
        <x:v>assets/backgrounds/map-12.png</x:v>
      </x:c>
      <x:c r="C62" s="4" t="str">
        <x:v>World selection thumbnails and selected-world detail; game/app.js / upgrade-ui.js</x:v>
      </x:c>
      <x:c r="D62" s="4" t="str">
        <x:v>Super-Wiss-1.3.1-Source-Candidate.zip</x:v>
      </x:c>
      <x:c r="E62" s="4" t="str">
        <x:v>map/12; ?×?, 1 frames; unchanged original asset bytes.</x:v>
      </x:c>
    </x:row>
    <x:row r="63" ht="48" customHeight="1">
      <x:c r="A63" s="4" t="str">
        <x:v>map-13.png</x:v>
      </x:c>
      <x:c r="B63" s="4" t="str">
        <x:v>assets/backgrounds/map-13.png</x:v>
      </x:c>
      <x:c r="C63" s="4" t="str">
        <x:v>World selection thumbnails and selected-world detail; game/app.js / upgrade-ui.js</x:v>
      </x:c>
      <x:c r="D63" s="4" t="str">
        <x:v>Super-Wiss-1.3.1-Source-Candidate.zip</x:v>
      </x:c>
      <x:c r="E63" s="4" t="str">
        <x:v>map/13; ?×?, 1 frames; unchanged original asset bytes.</x:v>
      </x:c>
    </x:row>
    <x:row r="64" ht="48" customHeight="1">
      <x:c r="A64" s="4" t="str">
        <x:v>map-14.png</x:v>
      </x:c>
      <x:c r="B64" s="4" t="str">
        <x:v>assets/backgrounds/map-14.png</x:v>
      </x:c>
      <x:c r="C64" s="4" t="str">
        <x:v>World selection thumbnails and selected-world detail; game/app.js / upgrade-ui.js</x:v>
      </x:c>
      <x:c r="D64" s="4" t="str">
        <x:v>Super-Wiss-1.3.1-Source-Candidate.zip</x:v>
      </x:c>
      <x:c r="E64" s="4" t="str">
        <x:v>map/14; ?×?, 1 frames; unchanged original asset bytes.</x:v>
      </x:c>
    </x:row>
    <x:row r="65" ht="48" customHeight="1">
      <x:c r="A65" s="4" t="str">
        <x:v>world-0.png</x:v>
      </x:c>
      <x:c r="B65" s="4" t="str">
        <x:v>assets/tiles/world-0.png</x:v>
      </x:c>
      <x:c r="C65" s="4" t="str">
        <x:v>World terrain rendering; game/render.js / map tileSet data</x:v>
      </x:c>
      <x:c r="D65" s="4" t="str">
        <x:v>Super-Wiss-1.3.1-Source-Candidate.zip</x:v>
      </x:c>
      <x:c r="E65" s="4" t="str">
        <x:v>tiles/0; 32×32, 8 frames; unchanged original asset bytes.</x:v>
      </x:c>
    </x:row>
    <x:row r="66" ht="48" customHeight="1">
      <x:c r="A66" s="4" t="str">
        <x:v>world-1.png</x:v>
      </x:c>
      <x:c r="B66" s="4" t="str">
        <x:v>assets/tiles/world-1.png</x:v>
      </x:c>
      <x:c r="C66" s="4" t="str">
        <x:v>World terrain rendering; game/render.js / map tileSet data</x:v>
      </x:c>
      <x:c r="D66" s="4" t="str">
        <x:v>Super-Wiss-1.3.1-Source-Candidate.zip</x:v>
      </x:c>
      <x:c r="E66" s="4" t="str">
        <x:v>tiles/1; 32×32, 8 frames; unchanged original asset bytes.</x:v>
      </x:c>
    </x:row>
    <x:row r="67" ht="48" customHeight="1">
      <x:c r="A67" s="4" t="str">
        <x:v>world-2.png</x:v>
      </x:c>
      <x:c r="B67" s="4" t="str">
        <x:v>assets/tiles/world-2.png</x:v>
      </x:c>
      <x:c r="C67" s="4" t="str">
        <x:v>World terrain rendering; game/render.js / map tileSet data</x:v>
      </x:c>
      <x:c r="D67" s="4" t="str">
        <x:v>Super-Wiss-1.3.1-Source-Candidate.zip</x:v>
      </x:c>
      <x:c r="E67" s="4" t="str">
        <x:v>tiles/2; 32×32, 8 frames; unchanged original asset bytes.</x:v>
      </x:c>
    </x:row>
    <x:row r="68" ht="48" customHeight="1">
      <x:c r="A68" s="4" t="str">
        <x:v>world-3.png</x:v>
      </x:c>
      <x:c r="B68" s="4" t="str">
        <x:v>assets/tiles/world-3.png</x:v>
      </x:c>
      <x:c r="C68" s="4" t="str">
        <x:v>World terrain rendering; game/render.js / map tileSet data</x:v>
      </x:c>
      <x:c r="D68" s="4" t="str">
        <x:v>Super-Wiss-1.3.1-Source-Candidate.zip</x:v>
      </x:c>
      <x:c r="E68" s="4" t="str">
        <x:v>tiles/3; 32×32, 8 frames; unchanged original asset bytes.</x:v>
      </x:c>
    </x:row>
    <x:row r="69" ht="48" customHeight="1">
      <x:c r="A69" s="4" t="str">
        <x:v>world-4.png</x:v>
      </x:c>
      <x:c r="B69" s="4" t="str">
        <x:v>assets/tiles/world-4.png</x:v>
      </x:c>
      <x:c r="C69" s="4" t="str">
        <x:v>World terrain rendering; game/render.js / map tileSet data</x:v>
      </x:c>
      <x:c r="D69" s="4" t="str">
        <x:v>Super-Wiss-1.3.1-Source-Candidate.zip</x:v>
      </x:c>
      <x:c r="E69" s="4" t="str">
        <x:v>tiles/4; 32×32, 8 frames; unchanged original asset bytes.</x:v>
      </x:c>
    </x:row>
    <x:row r="70" ht="48" customHeight="1">
      <x:c r="A70" s="4" t="str">
        <x:v>world-5.png</x:v>
      </x:c>
      <x:c r="B70" s="4" t="str">
        <x:v>assets/tiles/world-5.png</x:v>
      </x:c>
      <x:c r="C70" s="4" t="str">
        <x:v>World terrain rendering; game/render.js / map tileSet data</x:v>
      </x:c>
      <x:c r="D70" s="4" t="str">
        <x:v>Super-Wiss-1.3.1-Source-Candidate.zip</x:v>
      </x:c>
      <x:c r="E70" s="4" t="str">
        <x:v>tiles/5; 32×32, 8 frames; unchanged original asset bytes.</x:v>
      </x:c>
    </x:row>
    <x:row r="71" ht="48" customHeight="1">
      <x:c r="A71" s="4" t="str">
        <x:v>world-6.png</x:v>
      </x:c>
      <x:c r="B71" s="4" t="str">
        <x:v>assets/tiles/world-6.png</x:v>
      </x:c>
      <x:c r="C71" s="4" t="str">
        <x:v>World terrain rendering; game/render.js / map tileSet data</x:v>
      </x:c>
      <x:c r="D71" s="4" t="str">
        <x:v>Super-Wiss-1.3.1-Source-Candidate.zip</x:v>
      </x:c>
      <x:c r="E71" s="4" t="str">
        <x:v>tiles/6; 32×32, 8 frames; unchanged original asset bytes.</x:v>
      </x:c>
    </x:row>
    <x:row r="72" ht="48" customHeight="1">
      <x:c r="A72" s="4" t="str">
        <x:v>world-7.png</x:v>
      </x:c>
      <x:c r="B72" s="4" t="str">
        <x:v>assets/tiles/world-7.png</x:v>
      </x:c>
      <x:c r="C72" s="4" t="str">
        <x:v>World terrain rendering; game/render.js / map tileSet data</x:v>
      </x:c>
      <x:c r="D72" s="4" t="str">
        <x:v>Super-Wiss-1.3.1-Source-Candidate.zip</x:v>
      </x:c>
      <x:c r="E72" s="4" t="str">
        <x:v>tiles/7; 32×32, 8 frames; unchanged original asset bytes.</x:v>
      </x:c>
    </x:row>
    <x:row r="73" ht="48" customHeight="1">
      <x:c r="A73" s="4" t="str">
        <x:v>world-8.png</x:v>
      </x:c>
      <x:c r="B73" s="4" t="str">
        <x:v>assets/tiles/world-8.png</x:v>
      </x:c>
      <x:c r="C73" s="4" t="str">
        <x:v>World terrain rendering; game/render.js / map tileSet data</x:v>
      </x:c>
      <x:c r="D73" s="4" t="str">
        <x:v>Super-Wiss-1.3.1-Source-Candidate.zip</x:v>
      </x:c>
      <x:c r="E73" s="4" t="str">
        <x:v>tiles/8; 32×32, 8 frames; unchanged original asset bytes.</x:v>
      </x:c>
    </x:row>
    <x:row r="74" ht="48" customHeight="1">
      <x:c r="A74" s="4" t="str">
        <x:v>world-9.png</x:v>
      </x:c>
      <x:c r="B74" s="4" t="str">
        <x:v>assets/tiles/world-9.png</x:v>
      </x:c>
      <x:c r="C74" s="4" t="str">
        <x:v>World terrain rendering; game/render.js / map tileSet data</x:v>
      </x:c>
      <x:c r="D74" s="4" t="str">
        <x:v>Super-Wiss-1.3.1-Source-Candidate.zip</x:v>
      </x:c>
      <x:c r="E74" s="4" t="str">
        <x:v>tiles/9; 32×32, 8 frames; unchanged original asset bytes.</x:v>
      </x:c>
    </x:row>
    <x:row r="75" ht="48" customHeight="1">
      <x:c r="A75" s="4" t="str">
        <x:v>world-10.png</x:v>
      </x:c>
      <x:c r="B75" s="4" t="str">
        <x:v>assets/tiles/world-10.png</x:v>
      </x:c>
      <x:c r="C75" s="4" t="str">
        <x:v>World terrain rendering; game/render.js / map tileSet data</x:v>
      </x:c>
      <x:c r="D75" s="4" t="str">
        <x:v>Super-Wiss-1.3.1-Source-Candidate.zip</x:v>
      </x:c>
      <x:c r="E75" s="4" t="str">
        <x:v>tiles/10; 32×32, 8 frames; unchanged original asset bytes.</x:v>
      </x:c>
    </x:row>
    <x:row r="76" ht="48" customHeight="1">
      <x:c r="A76" s="4" t="str">
        <x:v>world-11.png</x:v>
      </x:c>
      <x:c r="B76" s="4" t="str">
        <x:v>assets/tiles/world-11.png</x:v>
      </x:c>
      <x:c r="C76" s="4" t="str">
        <x:v>World terrain rendering; game/render.js / map tileSet data</x:v>
      </x:c>
      <x:c r="D76" s="4" t="str">
        <x:v>Super-Wiss-1.3.1-Source-Candidate.zip</x:v>
      </x:c>
      <x:c r="E76" s="4" t="str">
        <x:v>tiles/11; 32×32, 8 frames; unchanged original asset bytes.</x:v>
      </x:c>
    </x:row>
    <x:row r="77" ht="48" customHeight="1">
      <x:c r="A77" s="4" t="str">
        <x:v>world-12.png</x:v>
      </x:c>
      <x:c r="B77" s="4" t="str">
        <x:v>assets/tiles/world-12.png</x:v>
      </x:c>
      <x:c r="C77" s="4" t="str">
        <x:v>World terrain rendering; game/render.js / map tileSet data</x:v>
      </x:c>
      <x:c r="D77" s="4" t="str">
        <x:v>Super-Wiss-1.3.1-Source-Candidate.zip</x:v>
      </x:c>
      <x:c r="E77" s="4" t="str">
        <x:v>tiles/12; 32×32, 8 frames; unchanged original asset bytes.</x:v>
      </x:c>
    </x:row>
    <x:row r="78" ht="48" customHeight="1">
      <x:c r="A78" s="4" t="str">
        <x:v>world-13.png</x:v>
      </x:c>
      <x:c r="B78" s="4" t="str">
        <x:v>assets/tiles/world-13.png</x:v>
      </x:c>
      <x:c r="C78" s="4" t="str">
        <x:v>World terrain rendering; game/render.js / map tileSet data</x:v>
      </x:c>
      <x:c r="D78" s="4" t="str">
        <x:v>Super-Wiss-1.3.1-Source-Candidate.zip</x:v>
      </x:c>
      <x:c r="E78" s="4" t="str">
        <x:v>tiles/13; 32×32, 8 frames; unchanged original asset bytes.</x:v>
      </x:c>
    </x:row>
    <x:row r="79" ht="48" customHeight="1">
      <x:c r="A79" s="4" t="str">
        <x:v>world-14.png</x:v>
      </x:c>
      <x:c r="B79" s="4" t="str">
        <x:v>assets/tiles/world-14.png</x:v>
      </x:c>
      <x:c r="C79" s="4" t="str">
        <x:v>World terrain rendering; game/render.js / map tileSet data</x:v>
      </x:c>
      <x:c r="D79" s="4" t="str">
        <x:v>Super-Wiss-1.3.1-Source-Candidate.zip</x:v>
      </x:c>
      <x:c r="E79" s="4" t="str">
        <x:v>tiles/14; 32×32, 8 frames; unchanged original asset bytes.</x:v>
      </x:c>
    </x:row>
    <x:row r="80" ht="48" customHeight="1">
      <x:c r="A80" s="4" t="str">
        <x:v>wissem.png</x:v>
      </x:c>
      <x:c r="B80" s="4" t="str">
        <x:v>assets/heroes/wissem.png</x:v>
      </x:c>
      <x:c r="C80" s="4" t="str">
        <x:v>Hero selection, lobby, profile, combat; game/render.js drawHero / paintPortrait</x:v>
      </x:c>
      <x:c r="D80" s="4" t="str">
        <x:v>Super-Wiss-1.3.1-Source-Candidate.zip</x:v>
      </x:c>
      <x:c r="E80" s="4" t="str">
        <x:v>hero/wissem/still; 128×160, 1 frames; weaponLayer=separate; unchanged original asset bytes.</x:v>
      </x:c>
    </x:row>
    <x:row r="81" ht="48" customHeight="1">
      <x:c r="A81" s="4" t="str">
        <x:v>kossay.png</x:v>
      </x:c>
      <x:c r="B81" s="4" t="str">
        <x:v>assets/heroes/kossay.png</x:v>
      </x:c>
      <x:c r="C81" s="4" t="str">
        <x:v>Hero selection, lobby, profile, combat; game/render.js drawHero / paintPortrait</x:v>
      </x:c>
      <x:c r="D81" s="4" t="str">
        <x:v>Super-Wiss-1.3.1-Source-Candidate.zip</x:v>
      </x:c>
      <x:c r="E81" s="4" t="str">
        <x:v>hero/kossay/still; 128×160, 1 frames; weaponLayer=baked; unchanged original asset bytes.</x:v>
      </x:c>
    </x:row>
    <x:row r="82" ht="48" customHeight="1">
      <x:c r="A82" s="4" t="str">
        <x:v>yakine.png</x:v>
      </x:c>
      <x:c r="B82" s="4" t="str">
        <x:v>assets/heroes/yakine.png</x:v>
      </x:c>
      <x:c r="C82" s="4" t="str">
        <x:v>Hero selection, lobby, profile, combat; game/render.js drawHero / paintPortrait</x:v>
      </x:c>
      <x:c r="D82" s="4" t="str">
        <x:v>Super-Wiss-1.3.1-Source-Candidate.zip</x:v>
      </x:c>
      <x:c r="E82" s="4" t="str">
        <x:v>hero/yakine/still; 128×160, 1 frames; weaponLayer=baked; unchanged original asset bytes.</x:v>
      </x:c>
    </x:row>
    <x:row r="83" ht="48" customHeight="1">
      <x:c r="A83" s="4" t="str">
        <x:v>taky.png</x:v>
      </x:c>
      <x:c r="B83" s="4" t="str">
        <x:v>assets/heroes/taky.png</x:v>
      </x:c>
      <x:c r="C83" s="4" t="str">
        <x:v>Hero selection, lobby, profile, combat; game/render.js drawHero / paintPortrait</x:v>
      </x:c>
      <x:c r="D83" s="4" t="str">
        <x:v>Super-Wiss-1.3.1-Source-Candidate.zip</x:v>
      </x:c>
      <x:c r="E83" s="4" t="str">
        <x:v>hero/taky/still; 128×160, 1 frames; weaponLayer=baked; unchanged original asset bytes.</x:v>
      </x:c>
    </x:row>
    <x:row r="84" ht="48" customHeight="1">
      <x:c r="A84" s="4" t="str">
        <x:v>garsi.png</x:v>
      </x:c>
      <x:c r="B84" s="4" t="str">
        <x:v>assets/heroes/garsi.png</x:v>
      </x:c>
      <x:c r="C84" s="4" t="str">
        <x:v>Hero selection, lobby, profile, combat; game/render.js drawHero / paintPortrait</x:v>
      </x:c>
      <x:c r="D84" s="4" t="str">
        <x:v>Super-Wiss-1.3.1-Source-Candidate.zip</x:v>
      </x:c>
      <x:c r="E84" s="4" t="str">
        <x:v>hero/garsi/still; 128×160, 1 frames; weaponLayer=baked; unchanged original asset bytes.</x:v>
      </x:c>
    </x:row>
    <x:row r="85" ht="48" customHeight="1">
      <x:c r="A85" s="4" t="str">
        <x:v>tounsi.png</x:v>
      </x:c>
      <x:c r="B85" s="4" t="str">
        <x:v>assets/heroes/tounsi.png</x:v>
      </x:c>
      <x:c r="C85" s="4" t="str">
        <x:v>Hero selection, lobby, profile, combat; game/render.js drawHero / paintPortrait</x:v>
      </x:c>
      <x:c r="D85" s="4" t="str">
        <x:v>Super-Wiss-1.3.1-Source-Candidate.zip</x:v>
      </x:c>
      <x:c r="E85" s="4" t="str">
        <x:v>hero/tounsi/still; 128×160, 1 frames; weaponLayer=baked; unchanged original asset bytes.</x:v>
      </x:c>
    </x:row>
    <x:row r="86" ht="48" customHeight="1">
      <x:c r="A86" s="4" t="str">
        <x:v>youssef.png</x:v>
      </x:c>
      <x:c r="B86" s="4" t="str">
        <x:v>assets/heroes/youssef.png</x:v>
      </x:c>
      <x:c r="C86" s="4" t="str">
        <x:v>Hero selection, lobby, profile, combat; game/render.js drawHero / paintPortrait</x:v>
      </x:c>
      <x:c r="D86" s="4" t="str">
        <x:v>Super-Wiss-1.3.1-Source-Candidate.zip</x:v>
      </x:c>
      <x:c r="E86" s="4" t="str">
        <x:v>hero/youssef/still; 128×160, 1 frames; weaponLayer=baked; unchanged original asset bytes.</x:v>
      </x:c>
    </x:row>
    <x:row r="87" ht="48" customHeight="1">
      <x:c r="A87" s="4" t="str">
        <x:v>loey.png</x:v>
      </x:c>
      <x:c r="B87" s="4" t="str">
        <x:v>assets/heroes/loey.png</x:v>
      </x:c>
      <x:c r="C87" s="4" t="str">
        <x:v>Hero selection, lobby, profile, combat; game/render.js drawHero / paintPortrait</x:v>
      </x:c>
      <x:c r="D87" s="4" t="str">
        <x:v>Super-Wiss-1.3.1-Source-Candidate.zip</x:v>
      </x:c>
      <x:c r="E87" s="4" t="str">
        <x:v>hero/loey/still; 128×160, 1 frames; weaponLayer=baked; unchanged original asset bytes.</x:v>
      </x:c>
    </x:row>
    <x:row r="88" ht="48" customHeight="1">
      <x:c r="A88" s="4" t="str">
        <x:v>slime.png</x:v>
      </x:c>
      <x:c r="B88" s="4" t="str">
        <x:v>assets/enemies/slime.png</x:v>
      </x:c>
      <x:c r="C88" s="4" t="str">
        <x:v>Enemy combat rendering; game/render.js with engine state</x:v>
      </x:c>
      <x:c r="D88" s="4" t="str">
        <x:v>Super-Wiss-1.3.1-Source-Candidate.zip</x:v>
      </x:c>
      <x:c r="E88" s="4" t="str">
        <x:v>enemy/slime/still; 112×112, 1 frames; unchanged original asset bytes.</x:v>
      </x:c>
    </x:row>
    <x:row r="89" ht="48" customHeight="1">
      <x:c r="A89" s="4" t="str">
        <x:v>beetle.png</x:v>
      </x:c>
      <x:c r="B89" s="4" t="str">
        <x:v>assets/enemies/beetle.png</x:v>
      </x:c>
      <x:c r="C89" s="4" t="str">
        <x:v>Enemy combat rendering; game/render.js with engine state</x:v>
      </x:c>
      <x:c r="D89" s="4" t="str">
        <x:v>Super-Wiss-1.3.1-Source-Candidate.zip</x:v>
      </x:c>
      <x:c r="E89" s="4" t="str">
        <x:v>enemy/beetle/still; 112×112, 1 frames; unchanged original asset bytes.</x:v>
      </x:c>
    </x:row>
    <x:row r="90" ht="48" customHeight="1">
      <x:c r="A90" s="4" t="str">
        <x:v>bat.png</x:v>
      </x:c>
      <x:c r="B90" s="4" t="str">
        <x:v>assets/enemies/bat.png</x:v>
      </x:c>
      <x:c r="C90" s="4" t="str">
        <x:v>Enemy combat rendering; game/render.js with engine state</x:v>
      </x:c>
      <x:c r="D90" s="4" t="str">
        <x:v>Super-Wiss-1.3.1-Source-Candidate.zip</x:v>
      </x:c>
      <x:c r="E90" s="4" t="str">
        <x:v>enemy/bat/still; 112×112, 1 frames; unchanged original asset bytes.</x:v>
      </x:c>
    </x:row>
    <x:row r="91" ht="48" customHeight="1">
      <x:c r="A91" s="4" t="str">
        <x:v>crab.png</x:v>
      </x:c>
      <x:c r="B91" s="4" t="str">
        <x:v>assets/enemies/crab.png</x:v>
      </x:c>
      <x:c r="C91" s="4" t="str">
        <x:v>Enemy combat rendering; game/render.js with engine state</x:v>
      </x:c>
      <x:c r="D91" s="4" t="str">
        <x:v>Super-Wiss-1.3.1-Source-Candidate.zip</x:v>
      </x:c>
      <x:c r="E91" s="4" t="str">
        <x:v>enemy/crab/still; 112×112, 1 frames; unchanged original asset bytes.</x:v>
      </x:c>
    </x:row>
    <x:row r="92" ht="48" customHeight="1">
      <x:c r="A92" s="4" t="str">
        <x:v>sentry.png</x:v>
      </x:c>
      <x:c r="B92" s="4" t="str">
        <x:v>assets/enemies/sentry.png</x:v>
      </x:c>
      <x:c r="C92" s="4" t="str">
        <x:v>Enemy combat rendering; game/render.js with engine state</x:v>
      </x:c>
      <x:c r="D92" s="4" t="str">
        <x:v>Super-Wiss-1.3.1-Source-Candidate.zip</x:v>
      </x:c>
      <x:c r="E92" s="4" t="str">
        <x:v>enemy/sentry/still; 112×112, 1 frames; unchanged original asset bytes.</x:v>
      </x:c>
    </x:row>
    <x:row r="93" ht="48" customHeight="1">
      <x:c r="A93" s="4" t="str">
        <x:v>spiker.png</x:v>
      </x:c>
      <x:c r="B93" s="4" t="str">
        <x:v>assets/enemies/spiker.png</x:v>
      </x:c>
      <x:c r="C93" s="4" t="str">
        <x:v>Enemy combat rendering; game/render.js with engine state</x:v>
      </x:c>
      <x:c r="D93" s="4" t="str">
        <x:v>Super-Wiss-1.3.1-Source-Candidate.zip</x:v>
      </x:c>
      <x:c r="E93" s="4" t="str">
        <x:v>enemy/spiker/still; 112×112, 1 frames; unchanged original asset bytes.</x:v>
      </x:c>
    </x:row>
    <x:row r="94" ht="48" customHeight="1">
      <x:c r="A94" s="4" t="str">
        <x:v>imp.png</x:v>
      </x:c>
      <x:c r="B94" s="4" t="str">
        <x:v>assets/enemies/imp.png</x:v>
      </x:c>
      <x:c r="C94" s="4" t="str">
        <x:v>Enemy combat rendering; game/render.js with engine state</x:v>
      </x:c>
      <x:c r="D94" s="4" t="str">
        <x:v>Super-Wiss-1.3.1-Source-Candidate.zip</x:v>
      </x:c>
      <x:c r="E94" s="4" t="str">
        <x:v>enemy/imp/still; 112×112, 1 frames; unchanged original asset bytes.</x:v>
      </x:c>
    </x:row>
    <x:row r="95" ht="48" customHeight="1">
      <x:c r="A95" s="4" t="str">
        <x:v>ninja.png</x:v>
      </x:c>
      <x:c r="B95" s="4" t="str">
        <x:v>assets/enemies/ninja.png</x:v>
      </x:c>
      <x:c r="C95" s="4" t="str">
        <x:v>Enemy combat rendering; game/render.js with engine state</x:v>
      </x:c>
      <x:c r="D95" s="4" t="str">
        <x:v>Super-Wiss-1.3.1-Source-Candidate.zip</x:v>
      </x:c>
      <x:c r="E95" s="4" t="str">
        <x:v>enemy/ninja/still; 112×112, 1 frames; unchanged original asset bytes.</x:v>
      </x:c>
    </x:row>
    <x:row r="96" ht="48" customHeight="1">
      <x:c r="A96" s="4" t="str">
        <x:v>wisp.png</x:v>
      </x:c>
      <x:c r="B96" s="4" t="str">
        <x:v>assets/enemies/wisp.png</x:v>
      </x:c>
      <x:c r="C96" s="4" t="str">
        <x:v>Enemy combat rendering; game/render.js with engine state</x:v>
      </x:c>
      <x:c r="D96" s="4" t="str">
        <x:v>Super-Wiss-1.3.1-Source-Candidate.zip</x:v>
      </x:c>
      <x:c r="E96" s="4" t="str">
        <x:v>enemy/wisp/still; 112×112, 1 frames; unchanged original asset bytes.</x:v>
      </x:c>
    </x:row>
    <x:row r="97" ht="48" customHeight="1">
      <x:c r="A97" s="4" t="str">
        <x:v>maw.png</x:v>
      </x:c>
      <x:c r="B97" s="4" t="str">
        <x:v>assets/enemies/maw.png</x:v>
      </x:c>
      <x:c r="C97" s="4" t="str">
        <x:v>Enemy combat rendering; game/render.js with engine state</x:v>
      </x:c>
      <x:c r="D97" s="4" t="str">
        <x:v>Super-Wiss-1.3.1-Source-Candidate.zip</x:v>
      </x:c>
      <x:c r="E97" s="4" t="str">
        <x:v>enemy/maw/still; 112×112, 1 frames; unchanged original asset bytes.</x:v>
      </x:c>
    </x:row>
    <x:row r="98" ht="48" customHeight="1">
      <x:c r="A98" s="4" t="str">
        <x:v>golem.png</x:v>
      </x:c>
      <x:c r="B98" s="4" t="str">
        <x:v>assets/enemies/golem.png</x:v>
      </x:c>
      <x:c r="C98" s="4" t="str">
        <x:v>Enemy combat rendering; game/render.js with engine state</x:v>
      </x:c>
      <x:c r="D98" s="4" t="str">
        <x:v>Super-Wiss-1.3.1-Source-Candidate.zip</x:v>
      </x:c>
      <x:c r="E98" s="4" t="str">
        <x:v>enemy/golem/still; 112×112, 1 frames; unchanged original asset bytes.</x:v>
      </x:c>
    </x:row>
    <x:row r="99" ht="48" customHeight="1">
      <x:c r="A99" s="4" t="str">
        <x:v>drone.png</x:v>
      </x:c>
      <x:c r="B99" s="4" t="str">
        <x:v>assets/enemies/drone.png</x:v>
      </x:c>
      <x:c r="C99" s="4" t="str">
        <x:v>Enemy combat rendering; game/render.js with engine state</x:v>
      </x:c>
      <x:c r="D99" s="4" t="str">
        <x:v>Super-Wiss-1.3.1-Source-Candidate.zip</x:v>
      </x:c>
      <x:c r="E99" s="4" t="str">
        <x:v>enemy/drone/still; 112×112, 1 frames; unchanged original asset bytes.</x:v>
      </x:c>
    </x:row>
    <x:row r="100" ht="48" customHeight="1">
      <x:c r="A100" s="4" t="str">
        <x:v>hopper.png</x:v>
      </x:c>
      <x:c r="B100" s="4" t="str">
        <x:v>assets/enemies/hopper.png</x:v>
      </x:c>
      <x:c r="C100" s="4" t="str">
        <x:v>Enemy combat rendering; game/render.js with engine state</x:v>
      </x:c>
      <x:c r="D100" s="4" t="str">
        <x:v>Super-Wiss-1.3.1-Source-Candidate.zip</x:v>
      </x:c>
      <x:c r="E100" s="4" t="str">
        <x:v>enemy/hopper/still; 112×112, 1 frames; unchanged original asset bytes.</x:v>
      </x:c>
    </x:row>
    <x:row r="101" ht="48" customHeight="1">
      <x:c r="A101" s="4" t="str">
        <x:v>wolf.png</x:v>
      </x:c>
      <x:c r="B101" s="4" t="str">
        <x:v>assets/pets/wolf.png</x:v>
      </x:c>
      <x:c r="C101" s="4" t="str">
        <x:v>Companion selection, detail preview, summoned combat companion; render.js / ascension-ui.js</x:v>
      </x:c>
      <x:c r="D101" s="4" t="str">
        <x:v>Super-Wiss-1.3.1-Source-Candidate.zip</x:v>
      </x:c>
      <x:c r="E101" s="4" t="str">
        <x:v>pet/wolf/still; 160×128, 1 frames; unchanged original asset bytes.</x:v>
      </x:c>
    </x:row>
    <x:row r="102" ht="48" customHeight="1">
      <x:c r="A102" s="4" t="str">
        <x:v>eagle.png</x:v>
      </x:c>
      <x:c r="B102" s="4" t="str">
        <x:v>assets/pets/eagle.png</x:v>
      </x:c>
      <x:c r="C102" s="4" t="str">
        <x:v>Companion selection, detail preview, summoned combat companion; render.js / ascension-ui.js</x:v>
      </x:c>
      <x:c r="D102" s="4" t="str">
        <x:v>Super-Wiss-1.3.1-Source-Candidate.zip</x:v>
      </x:c>
      <x:c r="E102" s="4" t="str">
        <x:v>pet/eagle/still; 160×128, 1 frames; unchanged original asset bytes.</x:v>
      </x:c>
    </x:row>
    <x:row r="103" ht="48" customHeight="1">
      <x:c r="A103" s="4" t="str">
        <x:v>mole.png</x:v>
      </x:c>
      <x:c r="B103" s="4" t="str">
        <x:v>assets/pets/mole.png</x:v>
      </x:c>
      <x:c r="C103" s="4" t="str">
        <x:v>Companion selection, detail preview, summoned combat companion; render.js / ascension-ui.js</x:v>
      </x:c>
      <x:c r="D103" s="4" t="str">
        <x:v>Super-Wiss-1.3.1-Source-Candidate.zip</x:v>
      </x:c>
      <x:c r="E103" s="4" t="str">
        <x:v>pet/mole/still; 160×128, 1 frames; unchanged original asset bytes.</x:v>
      </x:c>
    </x:row>
    <x:row r="104" ht="48" customHeight="1">
      <x:c r="A104" s="4" t="str">
        <x:v>fox.png</x:v>
      </x:c>
      <x:c r="B104" s="4" t="str">
        <x:v>assets/pets/fox.png</x:v>
      </x:c>
      <x:c r="C104" s="4" t="str">
        <x:v>Companion selection, detail preview, summoned combat companion; render.js / ascension-ui.js</x:v>
      </x:c>
      <x:c r="D104" s="4" t="str">
        <x:v>Super-Wiss-1.3.1-Source-Candidate.zip</x:v>
      </x:c>
      <x:c r="E104" s="4" t="str">
        <x:v>pet/fox/still; 160×128, 1 frames; unchanged original asset bytes.</x:v>
      </x:c>
    </x:row>
    <x:row r="105" ht="48" customHeight="1">
      <x:c r="A105" s="4" t="str">
        <x:v>turtle.png</x:v>
      </x:c>
      <x:c r="B105" s="4" t="str">
        <x:v>assets/pets/turtle.png</x:v>
      </x:c>
      <x:c r="C105" s="4" t="str">
        <x:v>Companion selection, detail preview, summoned combat companion; render.js / ascension-ui.js</x:v>
      </x:c>
      <x:c r="D105" s="4" t="str">
        <x:v>Super-Wiss-1.3.1-Source-Candidate.zip</x:v>
      </x:c>
      <x:c r="E105" s="4" t="str">
        <x:v>pet/turtle/still; 160×128, 1 frames; unchanged original asset bytes.</x:v>
      </x:c>
    </x:row>
    <x:row r="106" ht="48" customHeight="1">
      <x:c r="A106" s="4" t="str">
        <x:v>dragon.png</x:v>
      </x:c>
      <x:c r="B106" s="4" t="str">
        <x:v>assets/pets/dragon.png</x:v>
      </x:c>
      <x:c r="C106" s="4" t="str">
        <x:v>Companion selection, detail preview, summoned combat companion; render.js / ascension-ui.js</x:v>
      </x:c>
      <x:c r="D106" s="4" t="str">
        <x:v>Super-Wiss-1.3.1-Source-Candidate.zip</x:v>
      </x:c>
      <x:c r="E106" s="4" t="str">
        <x:v>pet/dragon/still; 160×128, 1 frames; unchanged original asset bytes.</x:v>
      </x:c>
    </x:row>
    <x:row r="107" ht="48" customHeight="1">
      <x:c r="A107" s="4" t="str">
        <x:v>orca.png</x:v>
      </x:c>
      <x:c r="B107" s="4" t="str">
        <x:v>assets/pets/orca.png</x:v>
      </x:c>
      <x:c r="C107" s="4" t="str">
        <x:v>Companion selection, detail preview, summoned combat companion; render.js / ascension-ui.js</x:v>
      </x:c>
      <x:c r="D107" s="4" t="str">
        <x:v>Super-Wiss-1.3.1-Source-Candidate.zip</x:v>
      </x:c>
      <x:c r="E107" s="4" t="str">
        <x:v>pet/orca/still; 160×128, 1 frames; unchanged original asset bytes.</x:v>
      </x:c>
    </x:row>
    <x:row r="108" ht="48" customHeight="1">
      <x:c r="A108" s="4" t="str">
        <x:v>briar-regent.png</x:v>
      </x:c>
      <x:c r="B108" s="4" t="str">
        <x:v>assets/bosses/briar-regent.png</x:v>
      </x:c>
      <x:c r="C108" s="4" t="str">
        <x:v>Boss-trial cards and boss combat rendering; ascension-ui.js / render.js</x:v>
      </x:c>
      <x:c r="D108" s="4" t="str">
        <x:v>Super-Wiss-1.3.1-Source-Candidate.zip</x:v>
      </x:c>
      <x:c r="E108" s="4" t="str">
        <x:v>boss/briar-regent; 192×224, 8 frames; unchanged original asset bytes.</x:v>
      </x:c>
    </x:row>
    <x:row r="109" ht="48" customHeight="1">
      <x:c r="A109" s="4" t="str">
        <x:v>briar-regent-still.png</x:v>
      </x:c>
      <x:c r="B109" s="4" t="str">
        <x:v>assets/bosses/briar-regent-still.png</x:v>
      </x:c>
      <x:c r="C109" s="4" t="str">
        <x:v>Boss-trial cards and boss combat rendering; ascension-ui.js / render.js</x:v>
      </x:c>
      <x:c r="D109" s="4" t="str">
        <x:v>Super-Wiss-1.3.1-Source-Candidate.zip</x:v>
      </x:c>
      <x:c r="E109" s="4" t="str">
        <x:v>boss/briar-regent/still; 192×224, 1 frames; unchanged original asset bytes.</x:v>
      </x:c>
    </x:row>
    <x:row r="110" ht="48" customHeight="1">
      <x:c r="A110" s="4" t="str">
        <x:v>moon-reaper.png</x:v>
      </x:c>
      <x:c r="B110" s="4" t="str">
        <x:v>assets/bosses/moon-reaper.png</x:v>
      </x:c>
      <x:c r="C110" s="4" t="str">
        <x:v>Boss-trial cards and boss combat rendering; ascension-ui.js / render.js</x:v>
      </x:c>
      <x:c r="D110" s="4" t="str">
        <x:v>Super-Wiss-1.3.1-Source-Candidate.zip</x:v>
      </x:c>
      <x:c r="E110" s="4" t="str">
        <x:v>boss/moon-reaper; 192×224, 8 frames; unchanged original asset bytes.</x:v>
      </x:c>
    </x:row>
    <x:row r="111" ht="48" customHeight="1">
      <x:c r="A111" s="4" t="str">
        <x:v>moon-reaper-still.png</x:v>
      </x:c>
      <x:c r="B111" s="4" t="str">
        <x:v>assets/bosses/moon-reaper-still.png</x:v>
      </x:c>
      <x:c r="C111" s="4" t="str">
        <x:v>Boss-trial cards and boss combat rendering; ascension-ui.js / render.js</x:v>
      </x:c>
      <x:c r="D111" s="4" t="str">
        <x:v>Super-Wiss-1.3.1-Source-Candidate.zip</x:v>
      </x:c>
      <x:c r="E111" s="4" t="str">
        <x:v>boss/moon-reaper/still; 192×224, 1 frames; unchanged original asset bytes.</x:v>
      </x:c>
    </x:row>
    <x:row r="112" ht="48" customHeight="1">
      <x:c r="A112" s="4" t="str">
        <x:v>auric-colossus.png</x:v>
      </x:c>
      <x:c r="B112" s="4" t="str">
        <x:v>assets/bosses/auric-colossus.png</x:v>
      </x:c>
      <x:c r="C112" s="4" t="str">
        <x:v>Boss-trial cards and boss combat rendering; ascension-ui.js / render.js</x:v>
      </x:c>
      <x:c r="D112" s="4" t="str">
        <x:v>Super-Wiss-1.3.1-Source-Candidate.zip</x:v>
      </x:c>
      <x:c r="E112" s="4" t="str">
        <x:v>boss/auric-colossus; 192×224, 8 frames; unchanged original asset bytes.</x:v>
      </x:c>
    </x:row>
    <x:row r="113" ht="48" customHeight="1">
      <x:c r="A113" s="4" t="str">
        <x:v>auric-colossus-still.png</x:v>
      </x:c>
      <x:c r="B113" s="4" t="str">
        <x:v>assets/bosses/auric-colossus-still.png</x:v>
      </x:c>
      <x:c r="C113" s="4" t="str">
        <x:v>Boss-trial cards and boss combat rendering; ascension-ui.js / render.js</x:v>
      </x:c>
      <x:c r="D113" s="4" t="str">
        <x:v>Super-Wiss-1.3.1-Source-Candidate.zip</x:v>
      </x:c>
      <x:c r="E113" s="4" t="str">
        <x:v>boss/auric-colossus/still; 192×224, 1 frames; unchanged original asset bytes.</x:v>
      </x:c>
    </x:row>
    <x:row r="114" ht="48" customHeight="1">
      <x:c r="A114" s="4" t="str">
        <x:v>tide-tyrant.png</x:v>
      </x:c>
      <x:c r="B114" s="4" t="str">
        <x:v>assets/bosses/tide-tyrant.png</x:v>
      </x:c>
      <x:c r="C114" s="4" t="str">
        <x:v>Boss-trial cards and boss combat rendering; ascension-ui.js / render.js</x:v>
      </x:c>
      <x:c r="D114" s="4" t="str">
        <x:v>Super-Wiss-1.3.1-Source-Candidate.zip</x:v>
      </x:c>
      <x:c r="E114" s="4" t="str">
        <x:v>boss/tide-tyrant; 192×224, 8 frames; unchanged original asset bytes.</x:v>
      </x:c>
    </x:row>
    <x:row r="115" ht="48" customHeight="1">
      <x:c r="A115" s="4" t="str">
        <x:v>tide-tyrant-still.png</x:v>
      </x:c>
      <x:c r="B115" s="4" t="str">
        <x:v>assets/bosses/tide-tyrant-still.png</x:v>
      </x:c>
      <x:c r="C115" s="4" t="str">
        <x:v>Boss-trial cards and boss combat rendering; ascension-ui.js / render.js</x:v>
      </x:c>
      <x:c r="D115" s="4" t="str">
        <x:v>Super-Wiss-1.3.1-Source-Candidate.zip</x:v>
      </x:c>
      <x:c r="E115" s="4" t="str">
        <x:v>boss/tide-tyrant/still; 192×224, 1 frames; unchanged original asset bytes.</x:v>
      </x:c>
    </x:row>
    <x:row r="116" ht="48" customHeight="1">
      <x:c r="A116" s="4" t="str">
        <x:v>sugar-witch.png</x:v>
      </x:c>
      <x:c r="B116" s="4" t="str">
        <x:v>assets/bosses/sugar-witch.png</x:v>
      </x:c>
      <x:c r="C116" s="4" t="str">
        <x:v>Boss-trial cards and boss combat rendering; ascension-ui.js / render.js</x:v>
      </x:c>
      <x:c r="D116" s="4" t="str">
        <x:v>Super-Wiss-1.3.1-Source-Candidate.zip</x:v>
      </x:c>
      <x:c r="E116" s="4" t="str">
        <x:v>boss/sugar-witch; 192×224, 8 frames; unchanged original asset bytes.</x:v>
      </x:c>
    </x:row>
    <x:row r="117" ht="48" customHeight="1">
      <x:c r="A117" s="4" t="str">
        <x:v>sugar-witch-still.png</x:v>
      </x:c>
      <x:c r="B117" s="4" t="str">
        <x:v>assets/bosses/sugar-witch-still.png</x:v>
      </x:c>
      <x:c r="C117" s="4" t="str">
        <x:v>Boss-trial cards and boss combat rendering; ascension-ui.js / render.js</x:v>
      </x:c>
      <x:c r="D117" s="4" t="str">
        <x:v>Super-Wiss-1.3.1-Source-Candidate.zip</x:v>
      </x:c>
      <x:c r="E117" s="4" t="str">
        <x:v>boss/sugar-witch/still; 192×224, 1 frames; unchanged original asset bytes.</x:v>
      </x:c>
    </x:row>
    <x:row r="118" ht="48" customHeight="1">
      <x:c r="A118" s="4" t="str">
        <x:v>frostbound.png</x:v>
      </x:c>
      <x:c r="B118" s="4" t="str">
        <x:v>assets/bosses/frostbound.png</x:v>
      </x:c>
      <x:c r="C118" s="4" t="str">
        <x:v>Boss-trial cards and boss combat rendering; ascension-ui.js / render.js</x:v>
      </x:c>
      <x:c r="D118" s="4" t="str">
        <x:v>Super-Wiss-1.3.1-Source-Candidate.zip</x:v>
      </x:c>
      <x:c r="E118" s="4" t="str">
        <x:v>boss/frostbound; 192×224, 8 frames; unchanged original asset bytes.</x:v>
      </x:c>
    </x:row>
    <x:row r="119" ht="48" customHeight="1">
      <x:c r="A119" s="4" t="str">
        <x:v>frostbound-still.png</x:v>
      </x:c>
      <x:c r="B119" s="4" t="str">
        <x:v>assets/bosses/frostbound-still.png</x:v>
      </x:c>
      <x:c r="C119" s="4" t="str">
        <x:v>Boss-trial cards and boss combat rendering; ascension-ui.js / render.js</x:v>
      </x:c>
      <x:c r="D119" s="4" t="str">
        <x:v>Super-Wiss-1.3.1-Source-Candidate.zip</x:v>
      </x:c>
      <x:c r="E119" s="4" t="str">
        <x:v>boss/frostbound/still; 192×224, 1 frames; unchanged original asset bytes.</x:v>
      </x:c>
    </x:row>
    <x:row r="120" ht="48" customHeight="1">
      <x:c r="A120" s="4" t="str">
        <x:v>iron-conductor.png</x:v>
      </x:c>
      <x:c r="B120" s="4" t="str">
        <x:v>assets/bosses/iron-conductor.png</x:v>
      </x:c>
      <x:c r="C120" s="4" t="str">
        <x:v>Boss-trial cards and boss combat rendering; ascension-ui.js / render.js</x:v>
      </x:c>
      <x:c r="D120" s="4" t="str">
        <x:v>Super-Wiss-1.3.1-Source-Candidate.zip</x:v>
      </x:c>
      <x:c r="E120" s="4" t="str">
        <x:v>boss/iron-conductor; 192×224, 8 frames; unchanged original asset bytes.</x:v>
      </x:c>
    </x:row>
    <x:row r="121" ht="48" customHeight="1">
      <x:c r="A121" s="4" t="str">
        <x:v>iron-conductor-still.png</x:v>
      </x:c>
      <x:c r="B121" s="4" t="str">
        <x:v>assets/bosses/iron-conductor-still.png</x:v>
      </x:c>
      <x:c r="C121" s="4" t="str">
        <x:v>Boss-trial cards and boss combat rendering; ascension-ui.js / render.js</x:v>
      </x:c>
      <x:c r="D121" s="4" t="str">
        <x:v>Super-Wiss-1.3.1-Source-Candidate.zip</x:v>
      </x:c>
      <x:c r="E121" s="4" t="str">
        <x:v>boss/iron-conductor/still; 192×224, 1 frames; unchanged original asset bytes.</x:v>
      </x:c>
    </x:row>
    <x:row r="122" ht="48" customHeight="1">
      <x:c r="A122" s="4" t="str">
        <x:v>mycelium-king.png</x:v>
      </x:c>
      <x:c r="B122" s="4" t="str">
        <x:v>assets/bosses/mycelium-king.png</x:v>
      </x:c>
      <x:c r="C122" s="4" t="str">
        <x:v>Boss-trial cards and boss combat rendering; ascension-ui.js / render.js</x:v>
      </x:c>
      <x:c r="D122" s="4" t="str">
        <x:v>Super-Wiss-1.3.1-Source-Candidate.zip</x:v>
      </x:c>
      <x:c r="E122" s="4" t="str">
        <x:v>boss/mycelium-king; 192×224, 8 frames; unchanged original asset bytes.</x:v>
      </x:c>
    </x:row>
    <x:row r="123" ht="48" customHeight="1">
      <x:c r="A123" s="4" t="str">
        <x:v>mycelium-king-still.png</x:v>
      </x:c>
      <x:c r="B123" s="4" t="str">
        <x:v>assets/bosses/mycelium-king-still.png</x:v>
      </x:c>
      <x:c r="C123" s="4" t="str">
        <x:v>Boss-trial cards and boss combat rendering; ascension-ui.js / render.js</x:v>
      </x:c>
      <x:c r="D123" s="4" t="str">
        <x:v>Super-Wiss-1.3.1-Source-Candidate.zip</x:v>
      </x:c>
      <x:c r="E123" s="4" t="str">
        <x:v>boss/mycelium-king/still; 192×224, 1 frames; unchanged original asset bytes.</x:v>
      </x:c>
    </x:row>
    <x:row r="124" ht="48" customHeight="1">
      <x:c r="A124" s="4" t="str">
        <x:v>cinder-maw.png</x:v>
      </x:c>
      <x:c r="B124" s="4" t="str">
        <x:v>assets/bosses/cinder-maw.png</x:v>
      </x:c>
      <x:c r="C124" s="4" t="str">
        <x:v>Boss-trial cards and boss combat rendering; ascension-ui.js / render.js</x:v>
      </x:c>
      <x:c r="D124" s="4" t="str">
        <x:v>Super-Wiss-1.3.1-Source-Candidate.zip</x:v>
      </x:c>
      <x:c r="E124" s="4" t="str">
        <x:v>boss/cinder-maw; 192×224, 8 frames; unchanged original asset bytes.</x:v>
      </x:c>
    </x:row>
    <x:row r="125" ht="48" customHeight="1">
      <x:c r="A125" s="4" t="str">
        <x:v>cinder-maw-still.png</x:v>
      </x:c>
      <x:c r="B125" s="4" t="str">
        <x:v>assets/bosses/cinder-maw-still.png</x:v>
      </x:c>
      <x:c r="C125" s="4" t="str">
        <x:v>Boss-trial cards and boss combat rendering; ascension-ui.js / render.js</x:v>
      </x:c>
      <x:c r="D125" s="4" t="str">
        <x:v>Super-Wiss-1.3.1-Source-Candidate.zip</x:v>
      </x:c>
      <x:c r="E125" s="4" t="str">
        <x:v>boss/cinder-maw/still; 192×224, 1 frames; unchanged original asset bytes.</x:v>
      </x:c>
    </x:row>
    <x:row r="126" ht="48" customHeight="1">
      <x:c r="A126" s="4" t="str">
        <x:v>prism-oracle.png</x:v>
      </x:c>
      <x:c r="B126" s="4" t="str">
        <x:v>assets/bosses/prism-oracle.png</x:v>
      </x:c>
      <x:c r="C126" s="4" t="str">
        <x:v>Boss-trial cards and boss combat rendering; ascension-ui.js / render.js</x:v>
      </x:c>
      <x:c r="D126" s="4" t="str">
        <x:v>Super-Wiss-1.3.1-Source-Candidate.zip</x:v>
      </x:c>
      <x:c r="E126" s="4" t="str">
        <x:v>boss/prism-oracle; 192×224, 8 frames; unchanged original asset bytes.</x:v>
      </x:c>
    </x:row>
    <x:row r="127" ht="48" customHeight="1">
      <x:c r="A127" s="4" t="str">
        <x:v>prism-oracle-still.png</x:v>
      </x:c>
      <x:c r="B127" s="4" t="str">
        <x:v>assets/bosses/prism-oracle-still.png</x:v>
      </x:c>
      <x:c r="C127" s="4" t="str">
        <x:v>Boss-trial cards and boss combat rendering; ascension-ui.js / render.js</x:v>
      </x:c>
      <x:c r="D127" s="4" t="str">
        <x:v>Super-Wiss-1.3.1-Source-Candidate.zip</x:v>
      </x:c>
      <x:c r="E127" s="4" t="str">
        <x:v>boss/prism-oracle/still; 192×224, 1 frames; unchanged original asset bytes.</x:v>
      </x:c>
    </x:row>
    <x:row r="128" ht="48" customHeight="1">
      <x:c r="A128" s="4" t="str">
        <x:v>abyss-leviathan.png</x:v>
      </x:c>
      <x:c r="B128" s="4" t="str">
        <x:v>assets/bosses/abyss-leviathan.png</x:v>
      </x:c>
      <x:c r="C128" s="4" t="str">
        <x:v>Boss-trial cards and boss combat rendering; ascension-ui.js / render.js</x:v>
      </x:c>
      <x:c r="D128" s="4" t="str">
        <x:v>Super-Wiss-1.3.1-Source-Candidate.zip</x:v>
      </x:c>
      <x:c r="E128" s="4" t="str">
        <x:v>boss/abyss-leviathan; 192×224, 8 frames; unchanged original asset bytes.</x:v>
      </x:c>
    </x:row>
    <x:row r="129" ht="48" customHeight="1">
      <x:c r="A129" s="4" t="str">
        <x:v>abyss-leviathan-still.png</x:v>
      </x:c>
      <x:c r="B129" s="4" t="str">
        <x:v>assets/bosses/abyss-leviathan-still.png</x:v>
      </x:c>
      <x:c r="C129" s="4" t="str">
        <x:v>Boss-trial cards and boss combat rendering; ascension-ui.js / render.js</x:v>
      </x:c>
      <x:c r="D129" s="4" t="str">
        <x:v>Super-Wiss-1.3.1-Source-Candidate.zip</x:v>
      </x:c>
      <x:c r="E129" s="4" t="str">
        <x:v>boss/abyss-leviathan/still; 192×224, 1 frames; unchanged original asset bytes.</x:v>
      </x:c>
    </x:row>
    <x:row r="130" ht="48" customHeight="1">
      <x:c r="A130" s="4" t="str">
        <x:v>storm-archon.png</x:v>
      </x:c>
      <x:c r="B130" s="4" t="str">
        <x:v>assets/bosses/storm-archon.png</x:v>
      </x:c>
      <x:c r="C130" s="4" t="str">
        <x:v>Boss-trial cards and boss combat rendering; ascension-ui.js / render.js</x:v>
      </x:c>
      <x:c r="D130" s="4" t="str">
        <x:v>Super-Wiss-1.3.1-Source-Candidate.zip</x:v>
      </x:c>
      <x:c r="E130" s="4" t="str">
        <x:v>boss/storm-archon; 192×224, 8 frames; unchanged original asset bytes.</x:v>
      </x:c>
    </x:row>
    <x:row r="131" ht="48" customHeight="1">
      <x:c r="A131" s="4" t="str">
        <x:v>storm-archon-still.png</x:v>
      </x:c>
      <x:c r="B131" s="4" t="str">
        <x:v>assets/bosses/storm-archon-still.png</x:v>
      </x:c>
      <x:c r="C131" s="4" t="str">
        <x:v>Boss-trial cards and boss combat rendering; ascension-ui.js / render.js</x:v>
      </x:c>
      <x:c r="D131" s="4" t="str">
        <x:v>Super-Wiss-1.3.1-Source-Candidate.zip</x:v>
      </x:c>
      <x:c r="E131" s="4" t="str">
        <x:v>boss/storm-archon/still; 192×224, 1 frames; unchanged original asset bytes.</x:v>
      </x:c>
    </x:row>
    <x:row r="132" ht="48" customHeight="1">
      <x:c r="A132" s="4" t="str">
        <x:v>scarlet-blade.png</x:v>
      </x:c>
      <x:c r="B132" s="4" t="str">
        <x:v>assets/bosses/scarlet-blade.png</x:v>
      </x:c>
      <x:c r="C132" s="4" t="str">
        <x:v>Boss-trial cards and boss combat rendering; ascension-ui.js / render.js</x:v>
      </x:c>
      <x:c r="D132" s="4" t="str">
        <x:v>Super-Wiss-1.3.1-Source-Candidate.zip</x:v>
      </x:c>
      <x:c r="E132" s="4" t="str">
        <x:v>boss/scarlet-blade; 192×224, 8 frames; unchanged original asset bytes.</x:v>
      </x:c>
    </x:row>
    <x:row r="133" ht="48" customHeight="1">
      <x:c r="A133" s="4" t="str">
        <x:v>scarlet-blade-still.png</x:v>
      </x:c>
      <x:c r="B133" s="4" t="str">
        <x:v>assets/bosses/scarlet-blade-still.png</x:v>
      </x:c>
      <x:c r="C133" s="4" t="str">
        <x:v>Boss-trial cards and boss combat rendering; ascension-ui.js / render.js</x:v>
      </x:c>
      <x:c r="D133" s="4" t="str">
        <x:v>Super-Wiss-1.3.1-Source-Candidate.zip</x:v>
      </x:c>
      <x:c r="E133" s="4" t="str">
        <x:v>boss/scarlet-blade/still; 192×224, 1 frames; unchanged original asset bytes.</x:v>
      </x:c>
    </x:row>
    <x:row r="134" ht="48" customHeight="1">
      <x:c r="A134" s="4" t="str">
        <x:v>null-engine.png</x:v>
      </x:c>
      <x:c r="B134" s="4" t="str">
        <x:v>assets/bosses/null-engine.png</x:v>
      </x:c>
      <x:c r="C134" s="4" t="str">
        <x:v>Boss-trial cards and boss combat rendering; ascension-ui.js / render.js</x:v>
      </x:c>
      <x:c r="D134" s="4" t="str">
        <x:v>Super-Wiss-1.3.1-Source-Candidate.zip</x:v>
      </x:c>
      <x:c r="E134" s="4" t="str">
        <x:v>boss/null-engine; 192×224, 8 frames; unchanged original asset bytes.</x:v>
      </x:c>
    </x:row>
    <x:row r="135" ht="48" customHeight="1">
      <x:c r="A135" s="4" t="str">
        <x:v>null-engine-still.png</x:v>
      </x:c>
      <x:c r="B135" s="4" t="str">
        <x:v>assets/bosses/null-engine-still.png</x:v>
      </x:c>
      <x:c r="C135" s="4" t="str">
        <x:v>Boss-trial cards and boss combat rendering; ascension-ui.js / render.js</x:v>
      </x:c>
      <x:c r="D135" s="4" t="str">
        <x:v>Super-Wiss-1.3.1-Source-Candidate.zip</x:v>
      </x:c>
      <x:c r="E135" s="4" t="str">
        <x:v>boss/null-engine/still; 192×224, 1 frames; unchanged original asset bytes.</x:v>
      </x:c>
    </x:row>
    <x:row r="136" ht="48" customHeight="1">
      <x:c r="A136" s="4" t="str">
        <x:v>eclipse-sovereign.png</x:v>
      </x:c>
      <x:c r="B136" s="4" t="str">
        <x:v>assets/bosses/eclipse-sovereign.png</x:v>
      </x:c>
      <x:c r="C136" s="4" t="str">
        <x:v>Boss-trial cards and boss combat rendering; ascension-ui.js / render.js</x:v>
      </x:c>
      <x:c r="D136" s="4" t="str">
        <x:v>Super-Wiss-1.3.1-Source-Candidate.zip</x:v>
      </x:c>
      <x:c r="E136" s="4" t="str">
        <x:v>boss/eclipse-sovereign; 192×224, 8 frames; unchanged original asset bytes.</x:v>
      </x:c>
    </x:row>
    <x:row r="137" ht="48" customHeight="1">
      <x:c r="A137" s="4" t="str">
        <x:v>eclipse-sovereign-still.png</x:v>
      </x:c>
      <x:c r="B137" s="4" t="str">
        <x:v>assets/bosses/eclipse-sovereign-still.png</x:v>
      </x:c>
      <x:c r="C137" s="4" t="str">
        <x:v>Boss-trial cards and boss combat rendering; ascension-ui.js / render.js</x:v>
      </x:c>
      <x:c r="D137" s="4" t="str">
        <x:v>Super-Wiss-1.3.1-Source-Candidate.zip</x:v>
      </x:c>
      <x:c r="E137" s="4" t="str">
        <x:v>boss/eclipse-sovereign/still; 192×224, 1 frames; unchanged original asset bytes.</x:v>
      </x:c>
    </x:row>
    <x:row r="138" ht="48" customHeight="1">
      <x:c r="A138" s="4" t="str">
        <x:v>waste-sky.png</x:v>
      </x:c>
      <x:c r="B138" s="4" t="str">
        <x:v>assets/community/waste-sky.png</x:v>
      </x:c>
      <x:c r="C138" s="4" t="str">
        <x:v>Original world scenery and props; game/render.js</x:v>
      </x:c>
      <x:c r="D138" s="4" t="str">
        <x:v>Super-Wiss-1.3.1-Source-Candidate.zip</x:v>
      </x:c>
      <x:c r="E138" s="4" t="str">
        <x:v>environment/waste-sky; ?×?, 1 frames; unchanged original asset bytes.</x:v>
      </x:c>
    </x:row>
    <x:row r="139" ht="48" customHeight="1">
      <x:c r="A139" s="4" t="str">
        <x:v>waste-far.png</x:v>
      </x:c>
      <x:c r="B139" s="4" t="str">
        <x:v>assets/community/waste-far.png</x:v>
      </x:c>
      <x:c r="C139" s="4" t="str">
        <x:v>Original world scenery and props; game/render.js</x:v>
      </x:c>
      <x:c r="D139" s="4" t="str">
        <x:v>Super-Wiss-1.3.1-Source-Candidate.zip</x:v>
      </x:c>
      <x:c r="E139" s="4" t="str">
        <x:v>environment/waste-far; ?×?, 1 frames; unchanged original asset bytes.</x:v>
      </x:c>
    </x:row>
    <x:row r="140" ht="48" customHeight="1">
      <x:c r="A140" s="4" t="str">
        <x:v>waste-near.png</x:v>
      </x:c>
      <x:c r="B140" s="4" t="str">
        <x:v>assets/community/waste-near.png</x:v>
      </x:c>
      <x:c r="C140" s="4" t="str">
        <x:v>Original world scenery and props; game/render.js</x:v>
      </x:c>
      <x:c r="D140" s="4" t="str">
        <x:v>Super-Wiss-1.3.1-Source-Candidate.zip</x:v>
      </x:c>
      <x:c r="E140" s="4" t="str">
        <x:v>environment/waste-near; ?×?, 1 frames; unchanged original asset bytes.</x:v>
      </x:c>
    </x:row>
    <x:row r="141" ht="48" customHeight="1">
      <x:c r="A141" s="4" t="str">
        <x:v>starry-sky.png</x:v>
      </x:c>
      <x:c r="B141" s="4" t="str">
        <x:v>assets/community/starry-sky.png</x:v>
      </x:c>
      <x:c r="C141" s="4" t="str">
        <x:v>Original world scenery and props; game/render.js</x:v>
      </x:c>
      <x:c r="D141" s="4" t="str">
        <x:v>Super-Wiss-1.3.1-Source-Candidate.zip</x:v>
      </x:c>
      <x:c r="E141" s="4" t="str">
        <x:v>environment/starry-sky; ?×?, 1 frames; unchanged original asset bytes.</x:v>
      </x:c>
    </x:row>
    <x:row r="142" ht="48" customHeight="1">
      <x:c r="A142" s="4" t="str">
        <x:v>starry-clouds.png</x:v>
      </x:c>
      <x:c r="B142" s="4" t="str">
        <x:v>assets/community/starry-clouds.png</x:v>
      </x:c>
      <x:c r="C142" s="4" t="str">
        <x:v>Original world scenery and props; game/render.js</x:v>
      </x:c>
      <x:c r="D142" s="4" t="str">
        <x:v>Super-Wiss-1.3.1-Source-Candidate.zip</x:v>
      </x:c>
      <x:c r="E142" s="4" t="str">
        <x:v>environment/starry-clouds; ?×?, 1 frames; unchanged original asset bytes.</x:v>
      </x:c>
    </x:row>
    <x:row r="143" ht="48" customHeight="1">
      <x:c r="A143" s="4" t="str">
        <x:v>water.png</x:v>
      </x:c>
      <x:c r="B143" s="4" t="str">
        <x:v>assets/community/water.png</x:v>
      </x:c>
      <x:c r="C143" s="4" t="str">
        <x:v>Original world scenery and props; game/render.js</x:v>
      </x:c>
      <x:c r="D143" s="4" t="str">
        <x:v>Super-Wiss-1.3.1-Source-Candidate.zip</x:v>
      </x:c>
      <x:c r="E143" s="4" t="str">
        <x:v>environment/water; 16×16, 4 frames; unchanged original asset bytes.</x:v>
      </x:c>
    </x:row>
    <x:row r="144" ht="48" customHeight="1">
      <x:c r="A144" s="4" t="str">
        <x:v>spikes.png</x:v>
      </x:c>
      <x:c r="B144" s="4" t="str">
        <x:v>assets/community/spikes.png</x:v>
      </x:c>
      <x:c r="C144" s="4" t="str">
        <x:v>Original world scenery and props; game/render.js</x:v>
      </x:c>
      <x:c r="D144" s="4" t="str">
        <x:v>Super-Wiss-1.3.1-Source-Candidate.zip</x:v>
      </x:c>
      <x:c r="E144" s="4" t="str">
        <x:v>environment/spikes; 16×16, 6 frames; unchanged original asset bytes.</x:v>
      </x:c>
    </x:row>
    <x:row r="145" ht="48" customHeight="1">
      <x:c r="A145" s="4" t="str">
        <x:v>tiles-starry.png</x:v>
      </x:c>
      <x:c r="B145" s="4" t="str">
        <x:v>assets/community/tiles-starry.png</x:v>
      </x:c>
      <x:c r="C145" s="4" t="str">
        <x:v>World terrain rendering; game/render.js / map tileSet data</x:v>
      </x:c>
      <x:c r="D145" s="4" t="str">
        <x:v>Super-Wiss-1.3.1-Source-Candidate.zip</x:v>
      </x:c>
      <x:c r="E145" s="4" t="str">
        <x:v>tiles/starry; 32×32, 8 frames; unchanged original asset bytes.</x:v>
      </x:c>
    </x:row>
    <x:row r="146" ht="48" customHeight="1">
      <x:c r="A146" s="4" t="str">
        <x:v>tiles-waste.png</x:v>
      </x:c>
      <x:c r="B146" s="4" t="str">
        <x:v>assets/community/tiles-waste.png</x:v>
      </x:c>
      <x:c r="C146" s="4" t="str">
        <x:v>World terrain rendering; game/render.js / map tileSet data</x:v>
      </x:c>
      <x:c r="D146" s="4" t="str">
        <x:v>Super-Wiss-1.3.1-Source-Candidate.zip</x:v>
      </x:c>
      <x:c r="E146" s="4" t="str">
        <x:v>tiles/waste; 32×32, 8 frames; unchanged original asset bytes.</x:v>
      </x:c>
    </x:row>
    <x:row r="147" ht="48" customHeight="1">
      <x:c r="A147" s="4" t="str">
        <x:v>starry-tree.png</x:v>
      </x:c>
      <x:c r="B147" s="4" t="str">
        <x:v>assets/community/starry-tree.png</x:v>
      </x:c>
      <x:c r="C147" s="4" t="str">
        <x:v>Original world scenery and props; game/render.js</x:v>
      </x:c>
      <x:c r="D147" s="4" t="str">
        <x:v>Super-Wiss-1.3.1-Source-Candidate.zip</x:v>
      </x:c>
      <x:c r="E147" s="4" t="str">
        <x:v>environment/starry-tree; ?×?, 1 frames; unchanged original asset bytes.</x:v>
      </x:c>
    </x:row>
    <x:row r="148" ht="48" customHeight="1">
      <x:c r="A148" s="4" t="str">
        <x:v>skill-01.png</x:v>
      </x:c>
      <x:c r="B148" s="4" t="str">
        <x:v>assets/community/skills/skill-01.png</x:v>
      </x:c>
      <x:c r="C148" s="4" t="str">
        <x:v>Hero ability cards and Skills shop tab; ascension-ui.js / atelier-ui.js</x:v>
      </x:c>
      <x:c r="D148" s="4" t="str">
        <x:v>Super-Wiss-1.3.1-Source-Candidate.zip</x:v>
      </x:c>
      <x:c r="E148" s="4" t="str">
        <x:v>skill-icon/1; ?×?, 1 frames; unchanged original asset bytes.</x:v>
      </x:c>
    </x:row>
    <x:row r="149" ht="48" customHeight="1">
      <x:c r="A149" s="4" t="str">
        <x:v>skill-02.png</x:v>
      </x:c>
      <x:c r="B149" s="4" t="str">
        <x:v>assets/community/skills/skill-02.png</x:v>
      </x:c>
      <x:c r="C149" s="4" t="str">
        <x:v>Hero ability cards and Skills shop tab; ascension-ui.js / atelier-ui.js</x:v>
      </x:c>
      <x:c r="D149" s="4" t="str">
        <x:v>Super-Wiss-1.3.1-Source-Candidate.zip</x:v>
      </x:c>
      <x:c r="E149" s="4" t="str">
        <x:v>skill-icon/2; ?×?, 1 frames; unchanged original asset bytes.</x:v>
      </x:c>
    </x:row>
    <x:row r="150" ht="48" customHeight="1">
      <x:c r="A150" s="4" t="str">
        <x:v>skill-03.png</x:v>
      </x:c>
      <x:c r="B150" s="4" t="str">
        <x:v>assets/community/skills/skill-03.png</x:v>
      </x:c>
      <x:c r="C150" s="4" t="str">
        <x:v>Hero ability cards and Skills shop tab; ascension-ui.js / atelier-ui.js</x:v>
      </x:c>
      <x:c r="D150" s="4" t="str">
        <x:v>Super-Wiss-1.3.1-Source-Candidate.zip</x:v>
      </x:c>
      <x:c r="E150" s="4" t="str">
        <x:v>skill-icon/3; ?×?, 1 frames; unchanged original asset bytes.</x:v>
      </x:c>
    </x:row>
    <x:row r="151" ht="48" customHeight="1">
      <x:c r="A151" s="4" t="str">
        <x:v>skill-04.png</x:v>
      </x:c>
      <x:c r="B151" s="4" t="str">
        <x:v>assets/community/skills/skill-04.png</x:v>
      </x:c>
      <x:c r="C151" s="4" t="str">
        <x:v>Hero ability cards and Skills shop tab; ascension-ui.js / atelier-ui.js</x:v>
      </x:c>
      <x:c r="D151" s="4" t="str">
        <x:v>Super-Wiss-1.3.1-Source-Candidate.zip</x:v>
      </x:c>
      <x:c r="E151" s="4" t="str">
        <x:v>skill-icon/4; ?×?, 1 frames; unchanged original asset bytes.</x:v>
      </x:c>
    </x:row>
    <x:row r="152" ht="48" customHeight="1">
      <x:c r="A152" s="4" t="str">
        <x:v>skill-05.png</x:v>
      </x:c>
      <x:c r="B152" s="4" t="str">
        <x:v>assets/community/skills/skill-05.png</x:v>
      </x:c>
      <x:c r="C152" s="4" t="str">
        <x:v>Hero ability cards and Skills shop tab; ascension-ui.js / atelier-ui.js</x:v>
      </x:c>
      <x:c r="D152" s="4" t="str">
        <x:v>Super-Wiss-1.3.1-Source-Candidate.zip</x:v>
      </x:c>
      <x:c r="E152" s="4" t="str">
        <x:v>skill-icon/5; ?×?, 1 frames; unchanged original asset bytes.</x:v>
      </x:c>
    </x:row>
    <x:row r="153" ht="48" customHeight="1">
      <x:c r="A153" s="4" t="str">
        <x:v>skill-06.png</x:v>
      </x:c>
      <x:c r="B153" s="4" t="str">
        <x:v>assets/community/skills/skill-06.png</x:v>
      </x:c>
      <x:c r="C153" s="4" t="str">
        <x:v>Hero ability cards and Skills shop tab; ascension-ui.js / atelier-ui.js</x:v>
      </x:c>
      <x:c r="D153" s="4" t="str">
        <x:v>Super-Wiss-1.3.1-Source-Candidate.zip</x:v>
      </x:c>
      <x:c r="E153" s="4" t="str">
        <x:v>skill-icon/6; ?×?, 1 frames; unchanged original asset bytes.</x:v>
      </x:c>
    </x:row>
    <x:row r="154" ht="48" customHeight="1">
      <x:c r="A154" s="4" t="str">
        <x:v>skill-07.png</x:v>
      </x:c>
      <x:c r="B154" s="4" t="str">
        <x:v>assets/community/skills/skill-07.png</x:v>
      </x:c>
      <x:c r="C154" s="4" t="str">
        <x:v>Hero ability cards and Skills shop tab; ascension-ui.js / atelier-ui.js</x:v>
      </x:c>
      <x:c r="D154" s="4" t="str">
        <x:v>Super-Wiss-1.3.1-Source-Candidate.zip</x:v>
      </x:c>
      <x:c r="E154" s="4" t="str">
        <x:v>skill-icon/7; ?×?, 1 frames; unchanged original asset bytes.</x:v>
      </x:c>
    </x:row>
    <x:row r="155" ht="48" customHeight="1">
      <x:c r="A155" s="4" t="str">
        <x:v>skill-08.png</x:v>
      </x:c>
      <x:c r="B155" s="4" t="str">
        <x:v>assets/community/skills/skill-08.png</x:v>
      </x:c>
      <x:c r="C155" s="4" t="str">
        <x:v>Hero ability cards and Skills shop tab; ascension-ui.js / atelier-ui.js</x:v>
      </x:c>
      <x:c r="D155" s="4" t="str">
        <x:v>Super-Wiss-1.3.1-Source-Candidate.zip</x:v>
      </x:c>
      <x:c r="E155" s="4" t="str">
        <x:v>skill-icon/8; ?×?, 1 frames; unchanged original asset bytes.</x:v>
      </x:c>
    </x:row>
    <x:row r="156" ht="48" customHeight="1">
      <x:c r="A156" s="4" t="str">
        <x:v>skill-09.png</x:v>
      </x:c>
      <x:c r="B156" s="4" t="str">
        <x:v>assets/community/skills/skill-09.png</x:v>
      </x:c>
      <x:c r="C156" s="4" t="str">
        <x:v>Hero ability cards and Skills shop tab; ascension-ui.js / atelier-ui.js</x:v>
      </x:c>
      <x:c r="D156" s="4" t="str">
        <x:v>Super-Wiss-1.3.1-Source-Candidate.zip</x:v>
      </x:c>
      <x:c r="E156" s="4" t="str">
        <x:v>skill-icon/9; ?×?, 1 frames; unchanged original asset bytes.</x:v>
      </x:c>
    </x:row>
    <x:row r="157" ht="48" customHeight="1">
      <x:c r="A157" s="4" t="str">
        <x:v>skill-10.png</x:v>
      </x:c>
      <x:c r="B157" s="4" t="str">
        <x:v>assets/community/skills/skill-10.png</x:v>
      </x:c>
      <x:c r="C157" s="4" t="str">
        <x:v>Hero ability cards and Skills shop tab; ascension-ui.js / atelier-ui.js</x:v>
      </x:c>
      <x:c r="D157" s="4" t="str">
        <x:v>Super-Wiss-1.3.1-Source-Candidate.zip</x:v>
      </x:c>
      <x:c r="E157" s="4" t="str">
        <x:v>skill-icon/10; ?×?, 1 frames; unchanged original asset bytes.</x:v>
      </x:c>
    </x:row>
    <x:row r="158" ht="48" customHeight="1">
      <x:c r="A158" s="4" t="str">
        <x:v>skill-11.png</x:v>
      </x:c>
      <x:c r="B158" s="4" t="str">
        <x:v>assets/community/skills/skill-11.png</x:v>
      </x:c>
      <x:c r="C158" s="4" t="str">
        <x:v>Hero ability cards and Skills shop tab; ascension-ui.js / atelier-ui.js</x:v>
      </x:c>
      <x:c r="D158" s="4" t="str">
        <x:v>Super-Wiss-1.3.1-Source-Candidate.zip</x:v>
      </x:c>
      <x:c r="E158" s="4" t="str">
        <x:v>skill-icon/11; ?×?, 1 frames; unchanged original asset bytes.</x:v>
      </x:c>
    </x:row>
    <x:row r="159" ht="48" customHeight="1">
      <x:c r="A159" s="4" t="str">
        <x:v>skill-12.png</x:v>
      </x:c>
      <x:c r="B159" s="4" t="str">
        <x:v>assets/community/skills/skill-12.png</x:v>
      </x:c>
      <x:c r="C159" s="4" t="str">
        <x:v>Hero ability cards and Skills shop tab; ascension-ui.js / atelier-ui.js</x:v>
      </x:c>
      <x:c r="D159" s="4" t="str">
        <x:v>Super-Wiss-1.3.1-Source-Candidate.zip</x:v>
      </x:c>
      <x:c r="E159" s="4" t="str">
        <x:v>skill-icon/12; ?×?, 1 frames; unchanged original asset bytes.</x:v>
      </x:c>
    </x:row>
    <x:row r="160" ht="48" customHeight="1">
      <x:c r="A160" s="4" t="str">
        <x:v>skill-13.png</x:v>
      </x:c>
      <x:c r="B160" s="4" t="str">
        <x:v>assets/community/skills/skill-13.png</x:v>
      </x:c>
      <x:c r="C160" s="4" t="str">
        <x:v>Hero ability cards and Skills shop tab; ascension-ui.js / atelier-ui.js</x:v>
      </x:c>
      <x:c r="D160" s="4" t="str">
        <x:v>Super-Wiss-1.3.1-Source-Candidate.zip</x:v>
      </x:c>
      <x:c r="E160" s="4" t="str">
        <x:v>skill-icon/13; ?×?, 1 frames; unchanged original asset bytes.</x:v>
      </x:c>
    </x:row>
    <x:row r="161" ht="48" customHeight="1">
      <x:c r="A161" s="4" t="str">
        <x:v>skill-14.png</x:v>
      </x:c>
      <x:c r="B161" s="4" t="str">
        <x:v>assets/community/skills/skill-14.png</x:v>
      </x:c>
      <x:c r="C161" s="4" t="str">
        <x:v>Hero ability cards and Skills shop tab; ascension-ui.js / atelier-ui.js</x:v>
      </x:c>
      <x:c r="D161" s="4" t="str">
        <x:v>Super-Wiss-1.3.1-Source-Candidate.zip</x:v>
      </x:c>
      <x:c r="E161" s="4" t="str">
        <x:v>skill-icon/14; ?×?, 1 frames; unchanged original asset bytes.</x:v>
      </x:c>
    </x:row>
    <x:row r="162" ht="48" customHeight="1">
      <x:c r="A162" s="4" t="str">
        <x:v>skill-15.png</x:v>
      </x:c>
      <x:c r="B162" s="4" t="str">
        <x:v>assets/community/skills/skill-15.png</x:v>
      </x:c>
      <x:c r="C162" s="4" t="str">
        <x:v>Hero ability cards and Skills shop tab; ascension-ui.js / atelier-ui.js</x:v>
      </x:c>
      <x:c r="D162" s="4" t="str">
        <x:v>Super-Wiss-1.3.1-Source-Candidate.zip</x:v>
      </x:c>
      <x:c r="E162" s="4" t="str">
        <x:v>skill-icon/15; ?×?, 1 frames; unchanged original asset bytes.</x:v>
      </x:c>
    </x:row>
    <x:row r="163" ht="48" customHeight="1">
      <x:c r="A163" s="4" t="str">
        <x:v>skill-16.png</x:v>
      </x:c>
      <x:c r="B163" s="4" t="str">
        <x:v>assets/community/skills/skill-16.png</x:v>
      </x:c>
      <x:c r="C163" s="4" t="str">
        <x:v>Hero ability cards and Skills shop tab; ascension-ui.js / atelier-ui.js</x:v>
      </x:c>
      <x:c r="D163" s="4" t="str">
        <x:v>Super-Wiss-1.3.1-Source-Candidate.zip</x:v>
      </x:c>
      <x:c r="E163" s="4" t="str">
        <x:v>skill-icon/16; ?×?, 1 frames; unchanged original asset bytes.</x:v>
      </x:c>
    </x:row>
    <x:row r="164" ht="48" customHeight="1">
      <x:c r="A164" s="4" t="str">
        <x:v>skill-17.png</x:v>
      </x:c>
      <x:c r="B164" s="4" t="str">
        <x:v>assets/community/skills/skill-17.png</x:v>
      </x:c>
      <x:c r="C164" s="4" t="str">
        <x:v>Hero ability cards and Skills shop tab; ascension-ui.js / atelier-ui.js</x:v>
      </x:c>
      <x:c r="D164" s="4" t="str">
        <x:v>Super-Wiss-1.3.1-Source-Candidate.zip</x:v>
      </x:c>
      <x:c r="E164" s="4" t="str">
        <x:v>skill-icon/17; ?×?, 1 frames; unchanged original asset bytes.</x:v>
      </x:c>
    </x:row>
    <x:row r="165" ht="48" customHeight="1">
      <x:c r="A165" s="4" t="str">
        <x:v>skill-18.png</x:v>
      </x:c>
      <x:c r="B165" s="4" t="str">
        <x:v>assets/community/skills/skill-18.png</x:v>
      </x:c>
      <x:c r="C165" s="4" t="str">
        <x:v>Hero ability cards and Skills shop tab; ascension-ui.js / atelier-ui.js</x:v>
      </x:c>
      <x:c r="D165" s="4" t="str">
        <x:v>Super-Wiss-1.3.1-Source-Candidate.zip</x:v>
      </x:c>
      <x:c r="E165" s="4" t="str">
        <x:v>skill-icon/18; ?×?, 1 frames; unchanged original asset bytes.</x:v>
      </x:c>
    </x:row>
    <x:row r="166" ht="48" customHeight="1">
      <x:c r="A166" s="4" t="str">
        <x:v>skill-19.png</x:v>
      </x:c>
      <x:c r="B166" s="4" t="str">
        <x:v>assets/community/skills/skill-19.png</x:v>
      </x:c>
      <x:c r="C166" s="4" t="str">
        <x:v>Hero ability cards and Skills shop tab; ascension-ui.js / atelier-ui.js</x:v>
      </x:c>
      <x:c r="D166" s="4" t="str">
        <x:v>Super-Wiss-1.3.1-Source-Candidate.zip</x:v>
      </x:c>
      <x:c r="E166" s="4" t="str">
        <x:v>skill-icon/19; ?×?, 1 frames; unchanged original asset bytes.</x:v>
      </x:c>
    </x:row>
    <x:row r="167" ht="48" customHeight="1">
      <x:c r="A167" s="4" t="str">
        <x:v>skill-20.png</x:v>
      </x:c>
      <x:c r="B167" s="4" t="str">
        <x:v>assets/community/skills/skill-20.png</x:v>
      </x:c>
      <x:c r="C167" s="4" t="str">
        <x:v>Hero ability cards and Skills shop tab; ascension-ui.js / atelier-ui.js</x:v>
      </x:c>
      <x:c r="D167" s="4" t="str">
        <x:v>Super-Wiss-1.3.1-Source-Candidate.zip</x:v>
      </x:c>
      <x:c r="E167" s="4" t="str">
        <x:v>skill-icon/20; ?×?, 1 frames; unchanged original asset bytes.</x:v>
      </x:c>
    </x:row>
    <x:row r="168" ht="48" customHeight="1">
      <x:c r="A168" s="4" t="str">
        <x:v>skill-21.png</x:v>
      </x:c>
      <x:c r="B168" s="4" t="str">
        <x:v>assets/community/skills/skill-21.png</x:v>
      </x:c>
      <x:c r="C168" s="4" t="str">
        <x:v>Hero ability cards and Skills shop tab; ascension-ui.js / atelier-ui.js</x:v>
      </x:c>
      <x:c r="D168" s="4" t="str">
        <x:v>Super-Wiss-1.3.1-Source-Candidate.zip</x:v>
      </x:c>
      <x:c r="E168" s="4" t="str">
        <x:v>skill-icon/21; ?×?, 1 frames; unchanged original asset bytes.</x:v>
      </x:c>
    </x:row>
    <x:row r="169" ht="48" customHeight="1">
      <x:c r="A169" s="4" t="str">
        <x:v>skill-22.png</x:v>
      </x:c>
      <x:c r="B169" s="4" t="str">
        <x:v>assets/community/skills/skill-22.png</x:v>
      </x:c>
      <x:c r="C169" s="4" t="str">
        <x:v>Hero ability cards and Skills shop tab; ascension-ui.js / atelier-ui.js</x:v>
      </x:c>
      <x:c r="D169" s="4" t="str">
        <x:v>Super-Wiss-1.3.1-Source-Candidate.zip</x:v>
      </x:c>
      <x:c r="E169" s="4" t="str">
        <x:v>skill-icon/22; ?×?, 1 frames; unchanged original asset bytes.</x:v>
      </x:c>
    </x:row>
    <x:row r="170" ht="48" customHeight="1">
      <x:c r="A170" s="4" t="str">
        <x:v>skill-23.png</x:v>
      </x:c>
      <x:c r="B170" s="4" t="str">
        <x:v>assets/community/skills/skill-23.png</x:v>
      </x:c>
      <x:c r="C170" s="4" t="str">
        <x:v>Hero ability cards and Skills shop tab; ascension-ui.js / atelier-ui.js</x:v>
      </x:c>
      <x:c r="D170" s="4" t="str">
        <x:v>Super-Wiss-1.3.1-Source-Candidate.zip</x:v>
      </x:c>
      <x:c r="E170" s="4" t="str">
        <x:v>skill-icon/23; ?×?, 1 frames; unchanged original asset bytes.</x:v>
      </x:c>
    </x:row>
    <x:row r="171" ht="48" customHeight="1">
      <x:c r="A171" s="4" t="str">
        <x:v>skill-24.png</x:v>
      </x:c>
      <x:c r="B171" s="4" t="str">
        <x:v>assets/community/skills/skill-24.png</x:v>
      </x:c>
      <x:c r="C171" s="4" t="str">
        <x:v>Hero ability cards and Skills shop tab; ascension-ui.js / atelier-ui.js</x:v>
      </x:c>
      <x:c r="D171" s="4" t="str">
        <x:v>Super-Wiss-1.3.1-Source-Candidate.zip</x:v>
      </x:c>
      <x:c r="E171" s="4" t="str">
        <x:v>skill-icon/24; ?×?, 1 frames; unchanged original asset bytes.</x:v>
      </x:c>
    </x:row>
    <x:row r="172" ht="48" customHeight="1">
      <x:c r="A172" s="4" t="str">
        <x:v>skill-25.png</x:v>
      </x:c>
      <x:c r="B172" s="4" t="str">
        <x:v>assets/community/skills/skill-25.png</x:v>
      </x:c>
      <x:c r="C172" s="4" t="str">
        <x:v>Hero ability cards and Skills shop tab; ascension-ui.js / atelier-ui.js</x:v>
      </x:c>
      <x:c r="D172" s="4" t="str">
        <x:v>Super-Wiss-1.3.1-Source-Candidate.zip</x:v>
      </x:c>
      <x:c r="E172" s="4" t="str">
        <x:v>skill-icon/25; ?×?, 1 frames; unchanged original asset bytes.</x:v>
      </x:c>
    </x:row>
    <x:row r="173" ht="48" customHeight="1">
      <x:c r="A173" s="4" t="str">
        <x:v>skill-26.png</x:v>
      </x:c>
      <x:c r="B173" s="4" t="str">
        <x:v>assets/community/skills/skill-26.png</x:v>
      </x:c>
      <x:c r="C173" s="4" t="str">
        <x:v>Hero ability cards and Skills shop tab; ascension-ui.js / atelier-ui.js</x:v>
      </x:c>
      <x:c r="D173" s="4" t="str">
        <x:v>Super-Wiss-1.3.1-Source-Candidate.zip</x:v>
      </x:c>
      <x:c r="E173" s="4" t="str">
        <x:v>skill-icon/26; ?×?, 1 frames; unchanged original asset bytes.</x:v>
      </x:c>
    </x:row>
    <x:row r="174" ht="48" customHeight="1">
      <x:c r="A174" s="4" t="str">
        <x:v>skill-27.png</x:v>
      </x:c>
      <x:c r="B174" s="4" t="str">
        <x:v>assets/community/skills/skill-27.png</x:v>
      </x:c>
      <x:c r="C174" s="4" t="str">
        <x:v>Hero ability cards and Skills shop tab; ascension-ui.js / atelier-ui.js</x:v>
      </x:c>
      <x:c r="D174" s="4" t="str">
        <x:v>Super-Wiss-1.3.1-Source-Candidate.zip</x:v>
      </x:c>
      <x:c r="E174" s="4" t="str">
        <x:v>skill-icon/27; ?×?, 1 frames; unchanged original asset bytes.</x:v>
      </x:c>
    </x:row>
    <x:row r="175" ht="48" customHeight="1">
      <x:c r="A175" s="4" t="str">
        <x:v>skill-28.png</x:v>
      </x:c>
      <x:c r="B175" s="4" t="str">
        <x:v>assets/community/skills/skill-28.png</x:v>
      </x:c>
      <x:c r="C175" s="4" t="str">
        <x:v>Hero ability cards and Skills shop tab; ascension-ui.js / atelier-ui.js</x:v>
      </x:c>
      <x:c r="D175" s="4" t="str">
        <x:v>Super-Wiss-1.3.1-Source-Candidate.zip</x:v>
      </x:c>
      <x:c r="E175" s="4" t="str">
        <x:v>skill-icon/28; ?×?, 1 frames; unchanged original asset bytes.</x:v>
      </x:c>
    </x:row>
    <x:row r="176" ht="48" customHeight="1">
      <x:c r="A176" s="4" t="str">
        <x:v>skill-29.png</x:v>
      </x:c>
      <x:c r="B176" s="4" t="str">
        <x:v>assets/community/skills/skill-29.png</x:v>
      </x:c>
      <x:c r="C176" s="4" t="str">
        <x:v>Hero ability cards and Skills shop tab; ascension-ui.js / atelier-ui.js</x:v>
      </x:c>
      <x:c r="D176" s="4" t="str">
        <x:v>Super-Wiss-1.3.1-Source-Candidate.zip</x:v>
      </x:c>
      <x:c r="E176" s="4" t="str">
        <x:v>skill-icon/29; ?×?, 1 frames; unchanged original asset bytes.</x:v>
      </x:c>
    </x:row>
    <x:row r="177" ht="48" customHeight="1">
      <x:c r="A177" s="4" t="str">
        <x:v>skill-30.png</x:v>
      </x:c>
      <x:c r="B177" s="4" t="str">
        <x:v>assets/community/skills/skill-30.png</x:v>
      </x:c>
      <x:c r="C177" s="4" t="str">
        <x:v>Hero ability cards and Skills shop tab; ascension-ui.js / atelier-ui.js</x:v>
      </x:c>
      <x:c r="D177" s="4" t="str">
        <x:v>Super-Wiss-1.3.1-Source-Candidate.zip</x:v>
      </x:c>
      <x:c r="E177" s="4" t="str">
        <x:v>skill-icon/30; ?×?, 1 frames; unchanged original asset bytes.</x:v>
      </x:c>
    </x:row>
    <x:row r="178" ht="48" customHeight="1">
      <x:c r="A178" s="4" t="str">
        <x:v>skill-31.png</x:v>
      </x:c>
      <x:c r="B178" s="4" t="str">
        <x:v>assets/community/skills/skill-31.png</x:v>
      </x:c>
      <x:c r="C178" s="4" t="str">
        <x:v>Hero ability cards and Skills shop tab; ascension-ui.js / atelier-ui.js</x:v>
      </x:c>
      <x:c r="D178" s="4" t="str">
        <x:v>Super-Wiss-1.3.1-Source-Candidate.zip</x:v>
      </x:c>
      <x:c r="E178" s="4" t="str">
        <x:v>skill-icon/31; ?×?, 1 frames; unchanged original asset bytes.</x:v>
      </x:c>
    </x:row>
    <x:row r="179" ht="48" customHeight="1">
      <x:c r="A179" s="4" t="str">
        <x:v>skill-32.png</x:v>
      </x:c>
      <x:c r="B179" s="4" t="str">
        <x:v>assets/community/skills/skill-32.png</x:v>
      </x:c>
      <x:c r="C179" s="4" t="str">
        <x:v>Hero ability cards and Skills shop tab; ascension-ui.js / atelier-ui.js</x:v>
      </x:c>
      <x:c r="D179" s="4" t="str">
        <x:v>Super-Wiss-1.3.1-Source-Candidate.zip</x:v>
      </x:c>
      <x:c r="E179" s="4" t="str">
        <x:v>skill-icon/32; ?×?, 1 frames; unchanged original asset bytes.</x:v>
      </x:c>
    </x:row>
    <x:row r="180" ht="48" customHeight="1">
      <x:c r="A180" s="4" t="str">
        <x:v>skill-33.png</x:v>
      </x:c>
      <x:c r="B180" s="4" t="str">
        <x:v>assets/community/skills/skill-33.png</x:v>
      </x:c>
      <x:c r="C180" s="4" t="str">
        <x:v>Hero ability cards and Skills shop tab; ascension-ui.js / atelier-ui.js</x:v>
      </x:c>
      <x:c r="D180" s="4" t="str">
        <x:v>Super-Wiss-1.3.1-Source-Candidate.zip</x:v>
      </x:c>
      <x:c r="E180" s="4" t="str">
        <x:v>skill-icon/33; ?×?, 1 frames; unchanged original asset bytes.</x:v>
      </x:c>
    </x:row>
    <x:row r="181" ht="48" customHeight="1">
      <x:c r="A181" s="4" t="str">
        <x:v>skill-34.png</x:v>
      </x:c>
      <x:c r="B181" s="4" t="str">
        <x:v>assets/community/skills/skill-34.png</x:v>
      </x:c>
      <x:c r="C181" s="4" t="str">
        <x:v>Hero ability cards and Skills shop tab; ascension-ui.js / atelier-ui.js</x:v>
      </x:c>
      <x:c r="D181" s="4" t="str">
        <x:v>Super-Wiss-1.3.1-Source-Candidate.zip</x:v>
      </x:c>
      <x:c r="E181" s="4" t="str">
        <x:v>skill-icon/34; ?×?, 1 frames; unchanged original asset bytes.</x:v>
      </x:c>
    </x:row>
    <x:row r="182" ht="48" customHeight="1">
      <x:c r="A182" s="4" t="str">
        <x:v>skill-35.png</x:v>
      </x:c>
      <x:c r="B182" s="4" t="str">
        <x:v>assets/community/skills/skill-35.png</x:v>
      </x:c>
      <x:c r="C182" s="4" t="str">
        <x:v>Hero ability cards and Skills shop tab; ascension-ui.js / atelier-ui.js</x:v>
      </x:c>
      <x:c r="D182" s="4" t="str">
        <x:v>Super-Wiss-1.3.1-Source-Candidate.zip</x:v>
      </x:c>
      <x:c r="E182" s="4" t="str">
        <x:v>skill-icon/35; ?×?, 1 frames; unchanged original asset bytes.</x:v>
      </x:c>
    </x:row>
    <x:row r="183" ht="48" customHeight="1">
      <x:c r="A183" s="4" t="str">
        <x:v>skill-36.png</x:v>
      </x:c>
      <x:c r="B183" s="4" t="str">
        <x:v>assets/community/skills/skill-36.png</x:v>
      </x:c>
      <x:c r="C183" s="4" t="str">
        <x:v>Hero ability cards and Skills shop tab; ascension-ui.js / atelier-ui.js</x:v>
      </x:c>
      <x:c r="D183" s="4" t="str">
        <x:v>Super-Wiss-1.3.1-Source-Candidate.zip</x:v>
      </x:c>
      <x:c r="E183" s="4" t="str">
        <x:v>skill-icon/36; ?×?, 1 frames; unchanged original asset bytes.</x:v>
      </x:c>
    </x:row>
    <x:row r="184" ht="48" customHeight="1">
      <x:c r="A184" s="4" t="str">
        <x:v>skill-37.png</x:v>
      </x:c>
      <x:c r="B184" s="4" t="str">
        <x:v>assets/community/skills/skill-37.png</x:v>
      </x:c>
      <x:c r="C184" s="4" t="str">
        <x:v>Hero ability cards and Skills shop tab; ascension-ui.js / atelier-ui.js</x:v>
      </x:c>
      <x:c r="D184" s="4" t="str">
        <x:v>Super-Wiss-1.3.1-Source-Candidate.zip</x:v>
      </x:c>
      <x:c r="E184" s="4" t="str">
        <x:v>skill-icon/37; ?×?, 1 frames; unchanged original asset bytes.</x:v>
      </x:c>
    </x:row>
    <x:row r="185" ht="48" customHeight="1">
      <x:c r="A185" s="4" t="str">
        <x:v>skill-38.png</x:v>
      </x:c>
      <x:c r="B185" s="4" t="str">
        <x:v>assets/community/skills/skill-38.png</x:v>
      </x:c>
      <x:c r="C185" s="4" t="str">
        <x:v>Hero ability cards and Skills shop tab; ascension-ui.js / atelier-ui.js</x:v>
      </x:c>
      <x:c r="D185" s="4" t="str">
        <x:v>Super-Wiss-1.3.1-Source-Candidate.zip</x:v>
      </x:c>
      <x:c r="E185" s="4" t="str">
        <x:v>skill-icon/38; ?×?, 1 frames; unchanged original asset bytes.</x:v>
      </x:c>
    </x:row>
    <x:row r="186" ht="48" customHeight="1">
      <x:c r="A186" s="4" t="str">
        <x:v>skill-39.png</x:v>
      </x:c>
      <x:c r="B186" s="4" t="str">
        <x:v>assets/community/skills/skill-39.png</x:v>
      </x:c>
      <x:c r="C186" s="4" t="str">
        <x:v>Hero ability cards and Skills shop tab; ascension-ui.js / atelier-ui.js</x:v>
      </x:c>
      <x:c r="D186" s="4" t="str">
        <x:v>Super-Wiss-1.3.1-Source-Candidate.zip</x:v>
      </x:c>
      <x:c r="E186" s="4" t="str">
        <x:v>skill-icon/39; ?×?, 1 frames; unchanged original asset bytes.</x:v>
      </x:c>
    </x:row>
    <x:row r="187" ht="48" customHeight="1">
      <x:c r="A187" s="4" t="str">
        <x:v>skill-40.png</x:v>
      </x:c>
      <x:c r="B187" s="4" t="str">
        <x:v>assets/community/skills/skill-40.png</x:v>
      </x:c>
      <x:c r="C187" s="4" t="str">
        <x:v>Hero ability cards and Skills shop tab; ascension-ui.js / atelier-ui.js</x:v>
      </x:c>
      <x:c r="D187" s="4" t="str">
        <x:v>Super-Wiss-1.3.1-Source-Candidate.zip</x:v>
      </x:c>
      <x:c r="E187" s="4" t="str">
        <x:v>skill-icon/40; ?×?, 1 frames; unchanged original asset bytes.</x:v>
      </x:c>
    </x:row>
    <x:row r="188" ht="48" customHeight="1">
      <x:c r="A188" s="4" t="str">
        <x:v>skill-41.png</x:v>
      </x:c>
      <x:c r="B188" s="4" t="str">
        <x:v>assets/community/skills/skill-41.png</x:v>
      </x:c>
      <x:c r="C188" s="4" t="str">
        <x:v>Hero ability cards and Skills shop tab; ascension-ui.js / atelier-ui.js</x:v>
      </x:c>
      <x:c r="D188" s="4" t="str">
        <x:v>Super-Wiss-1.3.1-Source-Candidate.zip</x:v>
      </x:c>
      <x:c r="E188" s="4" t="str">
        <x:v>skill-icon/41; ?×?, 1 frames; unchanged original asset bytes.</x:v>
      </x:c>
    </x:row>
    <x:row r="189" ht="48" customHeight="1">
      <x:c r="A189" s="4" t="str">
        <x:v>skill-42.png</x:v>
      </x:c>
      <x:c r="B189" s="4" t="str">
        <x:v>assets/community/skills/skill-42.png</x:v>
      </x:c>
      <x:c r="C189" s="4" t="str">
        <x:v>Hero ability cards and Skills shop tab; ascension-ui.js / atelier-ui.js</x:v>
      </x:c>
      <x:c r="D189" s="4" t="str">
        <x:v>Super-Wiss-1.3.1-Source-Candidate.zip</x:v>
      </x:c>
      <x:c r="E189" s="4" t="str">
        <x:v>skill-icon/42; ?×?, 1 frames; unchanged original asset bytes.</x:v>
      </x:c>
    </x:row>
    <x:row r="190" ht="48" customHeight="1">
      <x:c r="A190" s="4" t="str">
        <x:v>skill-43.png</x:v>
      </x:c>
      <x:c r="B190" s="4" t="str">
        <x:v>assets/community/skills/skill-43.png</x:v>
      </x:c>
      <x:c r="C190" s="4" t="str">
        <x:v>Hero ability cards and Skills shop tab; ascension-ui.js / atelier-ui.js</x:v>
      </x:c>
      <x:c r="D190" s="4" t="str">
        <x:v>Super-Wiss-1.3.1-Source-Candidate.zip</x:v>
      </x:c>
      <x:c r="E190" s="4" t="str">
        <x:v>skill-icon/43; ?×?, 1 frames; unchanged original asset bytes.</x:v>
      </x:c>
    </x:row>
    <x:row r="191" ht="48" customHeight="1">
      <x:c r="A191" s="4" t="str">
        <x:v>skill-44.png</x:v>
      </x:c>
      <x:c r="B191" s="4" t="str">
        <x:v>assets/community/skills/skill-44.png</x:v>
      </x:c>
      <x:c r="C191" s="4" t="str">
        <x:v>Hero ability cards and Skills shop tab; ascension-ui.js / atelier-ui.js</x:v>
      </x:c>
      <x:c r="D191" s="4" t="str">
        <x:v>Super-Wiss-1.3.1-Source-Candidate.zip</x:v>
      </x:c>
      <x:c r="E191" s="4" t="str">
        <x:v>skill-icon/44; ?×?, 1 frames; unchanged original asset bytes.</x:v>
      </x:c>
    </x:row>
    <x:row r="192" ht="48" customHeight="1">
      <x:c r="A192" s="4" t="str">
        <x:v>skill-45.png</x:v>
      </x:c>
      <x:c r="B192" s="4" t="str">
        <x:v>assets/community/skills/skill-45.png</x:v>
      </x:c>
      <x:c r="C192" s="4" t="str">
        <x:v>Hero ability cards and Skills shop tab; ascension-ui.js / atelier-ui.js</x:v>
      </x:c>
      <x:c r="D192" s="4" t="str">
        <x:v>Super-Wiss-1.3.1-Source-Candidate.zip</x:v>
      </x:c>
      <x:c r="E192" s="4" t="str">
        <x:v>skill-icon/45; ?×?, 1 frames; unchanged original asset bytes.</x:v>
      </x:c>
    </x:row>
    <x:row r="193" ht="48" customHeight="1">
      <x:c r="A193" s="4" t="str">
        <x:v>skill-46.png</x:v>
      </x:c>
      <x:c r="B193" s="4" t="str">
        <x:v>assets/community/skills/skill-46.png</x:v>
      </x:c>
      <x:c r="C193" s="4" t="str">
        <x:v>Hero ability cards and Skills shop tab; ascension-ui.js / atelier-ui.js</x:v>
      </x:c>
      <x:c r="D193" s="4" t="str">
        <x:v>Super-Wiss-1.3.1-Source-Candidate.zip</x:v>
      </x:c>
      <x:c r="E193" s="4" t="str">
        <x:v>skill-icon/46; ?×?, 1 frames; unchanged original asset bytes.</x:v>
      </x:c>
    </x:row>
    <x:row r="194" ht="48" customHeight="1">
      <x:c r="A194" s="4" t="str">
        <x:v>skill-47.png</x:v>
      </x:c>
      <x:c r="B194" s="4" t="str">
        <x:v>assets/community/skills/skill-47.png</x:v>
      </x:c>
      <x:c r="C194" s="4" t="str">
        <x:v>Hero ability cards and Skills shop tab; ascension-ui.js / atelier-ui.js</x:v>
      </x:c>
      <x:c r="D194" s="4" t="str">
        <x:v>Super-Wiss-1.3.1-Source-Candidate.zip</x:v>
      </x:c>
      <x:c r="E194" s="4" t="str">
        <x:v>skill-icon/47; ?×?, 1 frames; unchanged original asset bytes.</x:v>
      </x:c>
    </x:row>
    <x:row r="195" ht="48" customHeight="1">
      <x:c r="A195" s="4" t="str">
        <x:v>skill-48.png</x:v>
      </x:c>
      <x:c r="B195" s="4" t="str">
        <x:v>assets/community/skills/skill-48.png</x:v>
      </x:c>
      <x:c r="C195" s="4" t="str">
        <x:v>Hero ability cards and Skills shop tab; ascension-ui.js / atelier-ui.js</x:v>
      </x:c>
      <x:c r="D195" s="4" t="str">
        <x:v>Super-Wiss-1.3.1-Source-Candidate.zip</x:v>
      </x:c>
      <x:c r="E195" s="4" t="str">
        <x:v>skill-icon/48; ?×?, 1 frames; unchanged original asset bytes.</x:v>
      </x:c>
    </x:row>
    <x:row r="196" ht="48" customHeight="1">
      <x:c r="A196" s="4" t="str">
        <x:v>skill-49.png</x:v>
      </x:c>
      <x:c r="B196" s="4" t="str">
        <x:v>assets/community/skills/skill-49.png</x:v>
      </x:c>
      <x:c r="C196" s="4" t="str">
        <x:v>Hero ability cards and Skills shop tab; ascension-ui.js / atelier-ui.js</x:v>
      </x:c>
      <x:c r="D196" s="4" t="str">
        <x:v>Super-Wiss-1.3.1-Source-Candidate.zip</x:v>
      </x:c>
      <x:c r="E196" s="4" t="str">
        <x:v>skill-icon/49; ?×?, 1 frames; unchanged original asset bytes.</x:v>
      </x:c>
    </x:row>
    <x:row r="197" ht="48" customHeight="1">
      <x:c r="A197" s="4" t="str">
        <x:v>skill-50.png</x:v>
      </x:c>
      <x:c r="B197" s="4" t="str">
        <x:v>assets/community/skills/skill-50.png</x:v>
      </x:c>
      <x:c r="C197" s="4" t="str">
        <x:v>Hero ability cards and Skills shop tab; ascension-ui.js / atelier-ui.js</x:v>
      </x:c>
      <x:c r="D197" s="4" t="str">
        <x:v>Super-Wiss-1.3.1-Source-Candidate.zip</x:v>
      </x:c>
      <x:c r="E197" s="4" t="str">
        <x:v>skill-icon/50; ?×?, 1 frames; unchanged original asset bytes.</x:v>
      </x:c>
    </x:row>
    <x:row r="198" ht="48" customHeight="1">
      <x:c r="A198" s="4" t="str">
        <x:v>skill-51.png</x:v>
      </x:c>
      <x:c r="B198" s="4" t="str">
        <x:v>assets/community/skills/skill-51.png</x:v>
      </x:c>
      <x:c r="C198" s="4" t="str">
        <x:v>Hero ability cards and Skills shop tab; ascension-ui.js / atelier-ui.js</x:v>
      </x:c>
      <x:c r="D198" s="4" t="str">
        <x:v>Super-Wiss-1.3.1-Source-Candidate.zip</x:v>
      </x:c>
      <x:c r="E198" s="4" t="str">
        <x:v>skill-icon/51; ?×?, 1 frames; unchanged original asset bytes.</x:v>
      </x:c>
    </x:row>
    <x:row r="199" ht="48" customHeight="1">
      <x:c r="A199" s="4" t="str">
        <x:v>skill-52.png</x:v>
      </x:c>
      <x:c r="B199" s="4" t="str">
        <x:v>assets/community/skills/skill-52.png</x:v>
      </x:c>
      <x:c r="C199" s="4" t="str">
        <x:v>Hero ability cards and Skills shop tab; ascension-ui.js / atelier-ui.js</x:v>
      </x:c>
      <x:c r="D199" s="4" t="str">
        <x:v>Super-Wiss-1.3.1-Source-Candidate.zip</x:v>
      </x:c>
      <x:c r="E199" s="4" t="str">
        <x:v>skill-icon/52; ?×?, 1 frames; unchanged original asset bytes.</x:v>
      </x:c>
    </x:row>
    <x:row r="200" ht="48" customHeight="1">
      <x:c r="A200" s="4" t="str">
        <x:v>skill-53.png</x:v>
      </x:c>
      <x:c r="B200" s="4" t="str">
        <x:v>assets/community/skills/skill-53.png</x:v>
      </x:c>
      <x:c r="C200" s="4" t="str">
        <x:v>Hero ability cards and Skills shop tab; ascension-ui.js / atelier-ui.js</x:v>
      </x:c>
      <x:c r="D200" s="4" t="str">
        <x:v>Super-Wiss-1.3.1-Source-Candidate.zip</x:v>
      </x:c>
      <x:c r="E200" s="4" t="str">
        <x:v>skill-icon/53; ?×?, 1 frames; unchanged original asset bytes.</x:v>
      </x:c>
    </x:row>
    <x:row r="201" ht="48" customHeight="1">
      <x:c r="A201" s="4" t="str">
        <x:v>skill-54.png</x:v>
      </x:c>
      <x:c r="B201" s="4" t="str">
        <x:v>assets/community/skills/skill-54.png</x:v>
      </x:c>
      <x:c r="C201" s="4" t="str">
        <x:v>Hero ability cards and Skills shop tab; ascension-ui.js / atelier-ui.js</x:v>
      </x:c>
      <x:c r="D201" s="4" t="str">
        <x:v>Super-Wiss-1.3.1-Source-Candidate.zip</x:v>
      </x:c>
      <x:c r="E201" s="4" t="str">
        <x:v>skill-icon/54; ?×?, 1 frames; unchanged original asset bytes.</x:v>
      </x:c>
    </x:row>
    <x:row r="202" ht="48" customHeight="1">
      <x:c r="A202" s="4" t="str">
        <x:v>magic-004.png</x:v>
      </x:c>
      <x:c r="B202" s="4" t="str">
        <x:v>assets/community/magic/magic-004.png</x:v>
      </x:c>
      <x:c r="C202" s="4" t="str">
        <x:v>Existing skill/power icon catalog; manifest lookup in ascension-ui.js</x:v>
      </x:c>
      <x:c r="D202" s="4" t="str">
        <x:v>Super-Wiss-1.3.1-Source-Candidate.zip</x:v>
      </x:c>
      <x:c r="E202" s="4" t="str">
        <x:v>magic-icon/4; ?×?, 1 frames; unchanged original asset bytes.</x:v>
      </x:c>
    </x:row>
    <x:row r="203" ht="48" customHeight="1">
      <x:c r="A203" s="4" t="str">
        <x:v>magic-008.png</x:v>
      </x:c>
      <x:c r="B203" s="4" t="str">
        <x:v>assets/community/magic/magic-008.png</x:v>
      </x:c>
      <x:c r="C203" s="4" t="str">
        <x:v>Existing skill/power icon catalog; manifest lookup in ascension-ui.js</x:v>
      </x:c>
      <x:c r="D203" s="4" t="str">
        <x:v>Super-Wiss-1.3.1-Source-Candidate.zip</x:v>
      </x:c>
      <x:c r="E203" s="4" t="str">
        <x:v>magic-icon/8; ?×?, 1 frames; unchanged original asset bytes.</x:v>
      </x:c>
    </x:row>
    <x:row r="204" ht="48" customHeight="1">
      <x:c r="A204" s="4" t="str">
        <x:v>magic-011.png</x:v>
      </x:c>
      <x:c r="B204" s="4" t="str">
        <x:v>assets/community/magic/magic-011.png</x:v>
      </x:c>
      <x:c r="C204" s="4" t="str">
        <x:v>Existing skill/power icon catalog; manifest lookup in ascension-ui.js</x:v>
      </x:c>
      <x:c r="D204" s="4" t="str">
        <x:v>Super-Wiss-1.3.1-Source-Candidate.zip</x:v>
      </x:c>
      <x:c r="E204" s="4" t="str">
        <x:v>magic-icon/11; ?×?, 1 frames; unchanged original asset bytes.</x:v>
      </x:c>
    </x:row>
    <x:row r="205" ht="48" customHeight="1">
      <x:c r="A205" s="4" t="str">
        <x:v>magic-016.png</x:v>
      </x:c>
      <x:c r="B205" s="4" t="str">
        <x:v>assets/community/magic/magic-016.png</x:v>
      </x:c>
      <x:c r="C205" s="4" t="str">
        <x:v>Existing skill/power icon catalog; manifest lookup in ascension-ui.js</x:v>
      </x:c>
      <x:c r="D205" s="4" t="str">
        <x:v>Super-Wiss-1.3.1-Source-Candidate.zip</x:v>
      </x:c>
      <x:c r="E205" s="4" t="str">
        <x:v>magic-icon/16; ?×?, 1 frames; unchanged original asset bytes.</x:v>
      </x:c>
    </x:row>
    <x:row r="206" ht="48" customHeight="1">
      <x:c r="A206" s="4" t="str">
        <x:v>magic-020.png</x:v>
      </x:c>
      <x:c r="B206" s="4" t="str">
        <x:v>assets/community/magic/magic-020.png</x:v>
      </x:c>
      <x:c r="C206" s="4" t="str">
        <x:v>Existing skill/power icon catalog; manifest lookup in ascension-ui.js</x:v>
      </x:c>
      <x:c r="D206" s="4" t="str">
        <x:v>Super-Wiss-1.3.1-Source-Candidate.zip</x:v>
      </x:c>
      <x:c r="E206" s="4" t="str">
        <x:v>magic-icon/20; ?×?, 1 frames; unchanged original asset bytes.</x:v>
      </x:c>
    </x:row>
    <x:row r="207" ht="48" customHeight="1">
      <x:c r="A207" s="4" t="str">
        <x:v>magic-024.png</x:v>
      </x:c>
      <x:c r="B207" s="4" t="str">
        <x:v>assets/community/magic/magic-024.png</x:v>
      </x:c>
      <x:c r="C207" s="4" t="str">
        <x:v>Existing skill/power icon catalog; manifest lookup in ascension-ui.js</x:v>
      </x:c>
      <x:c r="D207" s="4" t="str">
        <x:v>Super-Wiss-1.3.1-Source-Candidate.zip</x:v>
      </x:c>
      <x:c r="E207" s="4" t="str">
        <x:v>magic-icon/24; ?×?, 1 frames; unchanged original asset bytes.</x:v>
      </x:c>
    </x:row>
    <x:row r="208" ht="48" customHeight="1">
      <x:c r="A208" s="4" t="str">
        <x:v>magic-031.png</x:v>
      </x:c>
      <x:c r="B208" s="4" t="str">
        <x:v>assets/community/magic/magic-031.png</x:v>
      </x:c>
      <x:c r="C208" s="4" t="str">
        <x:v>Existing skill/power icon catalog; manifest lookup in ascension-ui.js</x:v>
      </x:c>
      <x:c r="D208" s="4" t="str">
        <x:v>Super-Wiss-1.3.1-Source-Candidate.zip</x:v>
      </x:c>
      <x:c r="E208" s="4" t="str">
        <x:v>magic-icon/31; ?×?, 1 frames; unchanged original asset bytes.</x:v>
      </x:c>
    </x:row>
    <x:row r="209" ht="48" customHeight="1">
      <x:c r="A209" s="4" t="str">
        <x:v>magic-039.png</x:v>
      </x:c>
      <x:c r="B209" s="4" t="str">
        <x:v>assets/community/magic/magic-039.png</x:v>
      </x:c>
      <x:c r="C209" s="4" t="str">
        <x:v>Existing skill/power icon catalog; manifest lookup in ascension-ui.js</x:v>
      </x:c>
      <x:c r="D209" s="4" t="str">
        <x:v>Super-Wiss-1.3.1-Source-Candidate.zip</x:v>
      </x:c>
      <x:c r="E209" s="4" t="str">
        <x:v>magic-icon/39; ?×?, 1 frames; unchanged original asset bytes.</x:v>
      </x:c>
    </x:row>
    <x:row r="210" ht="48" customHeight="1">
      <x:c r="A210" s="4" t="str">
        <x:v>magic-047.png</x:v>
      </x:c>
      <x:c r="B210" s="4" t="str">
        <x:v>assets/community/magic/magic-047.png</x:v>
      </x:c>
      <x:c r="C210" s="4" t="str">
        <x:v>Existing skill/power icon catalog; manifest lookup in ascension-ui.js</x:v>
      </x:c>
      <x:c r="D210" s="4" t="str">
        <x:v>Super-Wiss-1.3.1-Source-Candidate.zip</x:v>
      </x:c>
      <x:c r="E210" s="4" t="str">
        <x:v>magic-icon/47; ?×?, 1 frames; unchanged original asset bytes.</x:v>
      </x:c>
    </x:row>
    <x:row r="211" ht="48" customHeight="1">
      <x:c r="A211" s="4" t="str">
        <x:v>magic-056.png</x:v>
      </x:c>
      <x:c r="B211" s="4" t="str">
        <x:v>assets/community/magic/magic-056.png</x:v>
      </x:c>
      <x:c r="C211" s="4" t="str">
        <x:v>Existing skill/power icon catalog; manifest lookup in ascension-ui.js</x:v>
      </x:c>
      <x:c r="D211" s="4" t="str">
        <x:v>Super-Wiss-1.3.1-Source-Candidate.zip</x:v>
      </x:c>
      <x:c r="E211" s="4" t="str">
        <x:v>magic-icon/56; ?×?, 1 frames; unchanged original asset bytes.</x:v>
      </x:c>
    </x:row>
    <x:row r="212" ht="48" customHeight="1">
      <x:c r="A212" s="4" t="str">
        <x:v>magic-061.png</x:v>
      </x:c>
      <x:c r="B212" s="4" t="str">
        <x:v>assets/community/magic/magic-061.png</x:v>
      </x:c>
      <x:c r="C212" s="4" t="str">
        <x:v>Existing skill/power icon catalog; manifest lookup in ascension-ui.js</x:v>
      </x:c>
      <x:c r="D212" s="4" t="str">
        <x:v>Super-Wiss-1.3.1-Source-Candidate.zip</x:v>
      </x:c>
      <x:c r="E212" s="4" t="str">
        <x:v>magic-icon/61; ?×?, 1 frames; unchanged original asset bytes.</x:v>
      </x:c>
    </x:row>
    <x:row r="213" ht="48" customHeight="1">
      <x:c r="A213" s="4" t="str">
        <x:v>magic-075.png</x:v>
      </x:c>
      <x:c r="B213" s="4" t="str">
        <x:v>assets/community/magic/magic-075.png</x:v>
      </x:c>
      <x:c r="C213" s="4" t="str">
        <x:v>Existing skill/power icon catalog; manifest lookup in ascension-ui.js</x:v>
      </x:c>
      <x:c r="D213" s="4" t="str">
        <x:v>Super-Wiss-1.3.1-Source-Candidate.zip</x:v>
      </x:c>
      <x:c r="E213" s="4" t="str">
        <x:v>magic-icon/75; ?×?, 1 frames; unchanged original asset bytes.</x:v>
      </x:c>
    </x:row>
    <x:row r="214" ht="48" customHeight="1">
      <x:c r="A214" s="4" t="str">
        <x:v>magic-092.png</x:v>
      </x:c>
      <x:c r="B214" s="4" t="str">
        <x:v>assets/community/magic/magic-092.png</x:v>
      </x:c>
      <x:c r="C214" s="4" t="str">
        <x:v>Existing skill/power icon catalog; manifest lookup in ascension-ui.js</x:v>
      </x:c>
      <x:c r="D214" s="4" t="str">
        <x:v>Super-Wiss-1.3.1-Source-Candidate.zip</x:v>
      </x:c>
      <x:c r="E214" s="4" t="str">
        <x:v>magic-icon/92; ?×?, 1 frames; unchanged original asset bytes.</x:v>
      </x:c>
    </x:row>
    <x:row r="215" ht="48" customHeight="1">
      <x:c r="A215" s="4" t="str">
        <x:v>magic-104.png</x:v>
      </x:c>
      <x:c r="B215" s="4" t="str">
        <x:v>assets/community/magic/magic-104.png</x:v>
      </x:c>
      <x:c r="C215" s="4" t="str">
        <x:v>Existing skill/power icon catalog; manifest lookup in ascension-ui.js</x:v>
      </x:c>
      <x:c r="D215" s="4" t="str">
        <x:v>Super-Wiss-1.3.1-Source-Candidate.zip</x:v>
      </x:c>
      <x:c r="E215" s="4" t="str">
        <x:v>magic-icon/104; ?×?, 1 frames; unchanged original asset bytes.</x:v>
      </x:c>
    </x:row>
    <x:row r="216" ht="48" customHeight="1">
      <x:c r="A216" s="4" t="str">
        <x:v>magic-118.png</x:v>
      </x:c>
      <x:c r="B216" s="4" t="str">
        <x:v>assets/community/magic/magic-118.png</x:v>
      </x:c>
      <x:c r="C216" s="4" t="str">
        <x:v>Existing skill/power icon catalog; manifest lookup in ascension-ui.js</x:v>
      </x:c>
      <x:c r="D216" s="4" t="str">
        <x:v>Super-Wiss-1.3.1-Source-Candidate.zip</x:v>
      </x:c>
      <x:c r="E216" s="4" t="str">
        <x:v>magic-icon/118; ?×?, 1 frames; unchanged original asset bytes.</x:v>
      </x:c>
    </x:row>
    <x:row r="217" ht="48" customHeight="1">
      <x:c r="A217" s="4" t="str">
        <x:v>magic-128.png</x:v>
      </x:c>
      <x:c r="B217" s="4" t="str">
        <x:v>assets/community/magic/magic-128.png</x:v>
      </x:c>
      <x:c r="C217" s="4" t="str">
        <x:v>Existing skill/power icon catalog; manifest lookup in ascension-ui.js</x:v>
      </x:c>
      <x:c r="D217" s="4" t="str">
        <x:v>Super-Wiss-1.3.1-Source-Candidate.zip</x:v>
      </x:c>
      <x:c r="E217" s="4" t="str">
        <x:v>magic-icon/128; ?×?, 1 frames; unchanged original asset bytes.</x:v>
      </x:c>
    </x:row>
    <x:row r="218" ht="48" customHeight="1">
      <x:c r="A218" s="4" t="str">
        <x:v>magic-144.png</x:v>
      </x:c>
      <x:c r="B218" s="4" t="str">
        <x:v>assets/community/magic/magic-144.png</x:v>
      </x:c>
      <x:c r="C218" s="4" t="str">
        <x:v>Existing skill/power icon catalog; manifest lookup in ascension-ui.js</x:v>
      </x:c>
      <x:c r="D218" s="4" t="str">
        <x:v>Super-Wiss-1.3.1-Source-Candidate.zip</x:v>
      </x:c>
      <x:c r="E218" s="4" t="str">
        <x:v>magic-icon/144; ?×?, 1 frames; unchanged original asset bytes.</x:v>
      </x:c>
    </x:row>
    <x:row r="219" ht="48" customHeight="1">
      <x:c r="A219" s="4" t="str">
        <x:v>magic-161.png</x:v>
      </x:c>
      <x:c r="B219" s="4" t="str">
        <x:v>assets/community/magic/magic-161.png</x:v>
      </x:c>
      <x:c r="C219" s="4" t="str">
        <x:v>Existing skill/power icon catalog; manifest lookup in ascension-ui.js</x:v>
      </x:c>
      <x:c r="D219" s="4" t="str">
        <x:v>Super-Wiss-1.3.1-Source-Candidate.zip</x:v>
      </x:c>
      <x:c r="E219" s="4" t="str">
        <x:v>magic-icon/161; ?×?, 1 frames; unchanged original asset bytes.</x:v>
      </x:c>
    </x:row>
    <x:row r="220" ht="48" customHeight="1">
      <x:c r="A220" s="4" t="str">
        <x:v>magic-183.png</x:v>
      </x:c>
      <x:c r="B220" s="4" t="str">
        <x:v>assets/community/magic/magic-183.png</x:v>
      </x:c>
      <x:c r="C220" s="4" t="str">
        <x:v>Existing skill/power icon catalog; manifest lookup in ascension-ui.js</x:v>
      </x:c>
      <x:c r="D220" s="4" t="str">
        <x:v>Super-Wiss-1.3.1-Source-Candidate.zip</x:v>
      </x:c>
      <x:c r="E220" s="4" t="str">
        <x:v>magic-icon/183; ?×?, 1 frames; unchanged original asset bytes.</x:v>
      </x:c>
    </x:row>
    <x:row r="221" ht="48" customHeight="1">
      <x:c r="A221" s="4" t="str">
        <x:v>magic-206.png</x:v>
      </x:c>
      <x:c r="B221" s="4" t="str">
        <x:v>assets/community/magic/magic-206.png</x:v>
      </x:c>
      <x:c r="C221" s="4" t="str">
        <x:v>Existing skill/power icon catalog; manifest lookup in ascension-ui.js</x:v>
      </x:c>
      <x:c r="D221" s="4" t="str">
        <x:v>Super-Wiss-1.3.1-Source-Candidate.zip</x:v>
      </x:c>
      <x:c r="E221" s="4" t="str">
        <x:v>magic-icon/206; ?×?, 1 frames; unchanged original asset bytes.</x:v>
      </x:c>
    </x:row>
    <x:row r="222" ht="48" customHeight="1">
      <x:c r="A222" s="4" t="str">
        <x:v>magic-224.png</x:v>
      </x:c>
      <x:c r="B222" s="4" t="str">
        <x:v>assets/community/magic/magic-224.png</x:v>
      </x:c>
      <x:c r="C222" s="4" t="str">
        <x:v>Existing skill/power icon catalog; manifest lookup in ascension-ui.js</x:v>
      </x:c>
      <x:c r="D222" s="4" t="str">
        <x:v>Super-Wiss-1.3.1-Source-Candidate.zip</x:v>
      </x:c>
      <x:c r="E222" s="4" t="str">
        <x:v>magic-icon/224; ?×?, 1 frames; unchanged original asset bytes.</x:v>
      </x:c>
    </x:row>
    <x:row r="223" ht="48" customHeight="1">
      <x:c r="A223" s="4" t="str">
        <x:v>magic-248.png</x:v>
      </x:c>
      <x:c r="B223" s="4" t="str">
        <x:v>assets/community/magic/magic-248.png</x:v>
      </x:c>
      <x:c r="C223" s="4" t="str">
        <x:v>Existing skill/power icon catalog; manifest lookup in ascension-ui.js</x:v>
      </x:c>
      <x:c r="D223" s="4" t="str">
        <x:v>Super-Wiss-1.3.1-Source-Candidate.zip</x:v>
      </x:c>
      <x:c r="E223" s="4" t="str">
        <x:v>magic-icon/248; ?×?, 1 frames; unchanged original asset bytes.</x:v>
      </x:c>
    </x:row>
    <x:row r="224" ht="48" customHeight="1">
      <x:c r="A224" s="4" t="str">
        <x:v>hero-rayan.png</x:v>
      </x:c>
      <x:c r="B224" s="4" t="str">
        <x:v>assets/ascension/hero-rayan.png</x:v>
      </x:c>
      <x:c r="C224" s="4" t="str">
        <x:v>Hero selection, lobby, profile, combat; game/render.js drawHero / paintPortrait</x:v>
      </x:c>
      <x:c r="D224" s="4" t="str">
        <x:v>Super-Wiss-1.3.1-Source-Candidate.zip</x:v>
      </x:c>
      <x:c r="E224" s="4" t="str">
        <x:v>hero/rayan; 128×160, 14 frames; weaponLayer=baked; unchanged original asset bytes.</x:v>
      </x:c>
    </x:row>
    <x:row r="225" ht="48" customHeight="1">
      <x:c r="A225" s="4" t="str">
        <x:v>hero-rayan-still.png</x:v>
      </x:c>
      <x:c r="B225" s="4" t="str">
        <x:v>assets/ascension/hero-rayan-still.png</x:v>
      </x:c>
      <x:c r="C225" s="4" t="str">
        <x:v>Hero selection, lobby, profile, combat; game/render.js drawHero / paintPortrait</x:v>
      </x:c>
      <x:c r="D225" s="4" t="str">
        <x:v>Super-Wiss-1.3.1-Source-Candidate.zip</x:v>
      </x:c>
      <x:c r="E225" s="4" t="str">
        <x:v>hero/rayan/still; 128×160, 1 frames; weaponLayer=baked; unchanged original asset bytes.</x:v>
      </x:c>
    </x:row>
    <x:row r="226" ht="48" customHeight="1">
      <x:c r="A226" s="4" t="str">
        <x:v>hero-mira.png</x:v>
      </x:c>
      <x:c r="B226" s="4" t="str">
        <x:v>assets/ascension/hero-mira.png</x:v>
      </x:c>
      <x:c r="C226" s="4" t="str">
        <x:v>Hero selection, lobby, profile, combat; game/render.js drawHero / paintPortrait</x:v>
      </x:c>
      <x:c r="D226" s="4" t="str">
        <x:v>Super-Wiss-1.3.1-Source-Candidate.zip</x:v>
      </x:c>
      <x:c r="E226" s="4" t="str">
        <x:v>hero/mira; 128×160, 14 frames; weaponLayer=baked; unchanged original asset bytes.</x:v>
      </x:c>
    </x:row>
    <x:row r="227" ht="48" customHeight="1">
      <x:c r="A227" s="4" t="str">
        <x:v>hero-mira-still.png</x:v>
      </x:c>
      <x:c r="B227" s="4" t="str">
        <x:v>assets/ascension/hero-mira-still.png</x:v>
      </x:c>
      <x:c r="C227" s="4" t="str">
        <x:v>Hero selection, lobby, profile, combat; game/render.js drawHero / paintPortrait</x:v>
      </x:c>
      <x:c r="D227" s="4" t="str">
        <x:v>Super-Wiss-1.3.1-Source-Candidate.zip</x:v>
      </x:c>
      <x:c r="E227" s="4" t="str">
        <x:v>hero/mira/still; 128×160, 1 frames; weaponLayer=baked; unchanged original asset bytes.</x:v>
      </x:c>
    </x:row>
    <x:row r="228" ht="48" customHeight="1">
      <x:c r="A228" s="4" t="str">
        <x:v>wissem-frost.png</x:v>
      </x:c>
      <x:c r="B228" s="4" t="str">
        <x:v>assets/ascension/outfits/wissem-frost.png</x:v>
      </x:c>
      <x:c r="C228" s="4" t="str">
        <x:v>Previously owned legacy whole looks; game/render.js, game/ascension-ui.js</x:v>
      </x:c>
      <x:c r="D228" s="4" t="str">
        <x:v>Super-Wiss-1.3.1-Source-Candidate.zip</x:v>
      </x:c>
      <x:c r="E228" s="4" t="str">
        <x:v>outfit/wissem/frost; 128×160, 14 frames; weaponLayer=separate; unchanged original asset bytes.</x:v>
      </x:c>
    </x:row>
    <x:row r="229" ht="48" customHeight="1">
      <x:c r="A229" s="4" t="str">
        <x:v>wissem-frost-still.png</x:v>
      </x:c>
      <x:c r="B229" s="4" t="str">
        <x:v>assets/ascension/outfits/wissem-frost-still.png</x:v>
      </x:c>
      <x:c r="C229" s="4" t="str">
        <x:v>Previously owned legacy whole looks; game/render.js, game/ascension-ui.js</x:v>
      </x:c>
      <x:c r="D229" s="4" t="str">
        <x:v>Super-Wiss-1.3.1-Source-Candidate.zip</x:v>
      </x:c>
      <x:c r="E229" s="4" t="str">
        <x:v>outfit/wissem/frost/still; 128×160, 1 frames; weaponLayer=separate; unchanged original asset bytes.</x:v>
      </x:c>
    </x:row>
    <x:row r="230" ht="48" customHeight="1">
      <x:c r="A230" s="4" t="str">
        <x:v>wissem-ember.png</x:v>
      </x:c>
      <x:c r="B230" s="4" t="str">
        <x:v>assets/ascension/outfits/wissem-ember.png</x:v>
      </x:c>
      <x:c r="C230" s="4" t="str">
        <x:v>Previously owned legacy whole looks; game/render.js, game/ascension-ui.js</x:v>
      </x:c>
      <x:c r="D230" s="4" t="str">
        <x:v>Super-Wiss-1.3.1-Source-Candidate.zip</x:v>
      </x:c>
      <x:c r="E230" s="4" t="str">
        <x:v>outfit/wissem/ember; 128×160, 14 frames; weaponLayer=separate; unchanged original asset bytes.</x:v>
      </x:c>
    </x:row>
    <x:row r="231" ht="48" customHeight="1">
      <x:c r="A231" s="4" t="str">
        <x:v>wissem-ember-still.png</x:v>
      </x:c>
      <x:c r="B231" s="4" t="str">
        <x:v>assets/ascension/outfits/wissem-ember-still.png</x:v>
      </x:c>
      <x:c r="C231" s="4" t="str">
        <x:v>Previously owned legacy whole looks; game/render.js, game/ascension-ui.js</x:v>
      </x:c>
      <x:c r="D231" s="4" t="str">
        <x:v>Super-Wiss-1.3.1-Source-Candidate.zip</x:v>
      </x:c>
      <x:c r="E231" s="4" t="str">
        <x:v>outfit/wissem/ember/still; 128×160, 1 frames; weaponLayer=separate; unchanged original asset bytes.</x:v>
      </x:c>
    </x:row>
    <x:row r="232" ht="48" customHeight="1">
      <x:c r="A232" s="4" t="str">
        <x:v>kossay-frost.png</x:v>
      </x:c>
      <x:c r="B232" s="4" t="str">
        <x:v>assets/ascension/outfits/kossay-frost.png</x:v>
      </x:c>
      <x:c r="C232" s="4" t="str">
        <x:v>Previously owned legacy whole looks; game/render.js, game/ascension-ui.js</x:v>
      </x:c>
      <x:c r="D232" s="4" t="str">
        <x:v>Super-Wiss-1.3.1-Source-Candidate.zip</x:v>
      </x:c>
      <x:c r="E232" s="4" t="str">
        <x:v>outfit/kossay/frost; 128×160, 14 frames; weaponLayer=baked; unchanged original asset bytes.</x:v>
      </x:c>
    </x:row>
    <x:row r="233" ht="48" customHeight="1">
      <x:c r="A233" s="4" t="str">
        <x:v>kossay-frost-still.png</x:v>
      </x:c>
      <x:c r="B233" s="4" t="str">
        <x:v>assets/ascension/outfits/kossay-frost-still.png</x:v>
      </x:c>
      <x:c r="C233" s="4" t="str">
        <x:v>Previously owned legacy whole looks; game/render.js, game/ascension-ui.js</x:v>
      </x:c>
      <x:c r="D233" s="4" t="str">
        <x:v>Super-Wiss-1.3.1-Source-Candidate.zip</x:v>
      </x:c>
      <x:c r="E233" s="4" t="str">
        <x:v>outfit/kossay/frost/still; 128×160, 1 frames; weaponLayer=baked; unchanged original asset bytes.</x:v>
      </x:c>
    </x:row>
    <x:row r="234" ht="48" customHeight="1">
      <x:c r="A234" s="4" t="str">
        <x:v>kossay-ember.png</x:v>
      </x:c>
      <x:c r="B234" s="4" t="str">
        <x:v>assets/ascension/outfits/kossay-ember.png</x:v>
      </x:c>
      <x:c r="C234" s="4" t="str">
        <x:v>Previously owned legacy whole looks; game/render.js, game/ascension-ui.js</x:v>
      </x:c>
      <x:c r="D234" s="4" t="str">
        <x:v>Super-Wiss-1.3.1-Source-Candidate.zip</x:v>
      </x:c>
      <x:c r="E234" s="4" t="str">
        <x:v>outfit/kossay/ember; 128×160, 14 frames; weaponLayer=baked; unchanged original asset bytes.</x:v>
      </x:c>
    </x:row>
    <x:row r="235" ht="48" customHeight="1">
      <x:c r="A235" s="4" t="str">
        <x:v>kossay-ember-still.png</x:v>
      </x:c>
      <x:c r="B235" s="4" t="str">
        <x:v>assets/ascension/outfits/kossay-ember-still.png</x:v>
      </x:c>
      <x:c r="C235" s="4" t="str">
        <x:v>Previously owned legacy whole looks; game/render.js, game/ascension-ui.js</x:v>
      </x:c>
      <x:c r="D235" s="4" t="str">
        <x:v>Super-Wiss-1.3.1-Source-Candidate.zip</x:v>
      </x:c>
      <x:c r="E235" s="4" t="str">
        <x:v>outfit/kossay/ember/still; 128×160, 1 frames; weaponLayer=baked; unchanged original asset bytes.</x:v>
      </x:c>
    </x:row>
    <x:row r="236" ht="48" customHeight="1">
      <x:c r="A236" s="4" t="str">
        <x:v>yakine-frost.png</x:v>
      </x:c>
      <x:c r="B236" s="4" t="str">
        <x:v>assets/ascension/outfits/yakine-frost.png</x:v>
      </x:c>
      <x:c r="C236" s="4" t="str">
        <x:v>Previously owned legacy whole looks; game/render.js, game/ascension-ui.js</x:v>
      </x:c>
      <x:c r="D236" s="4" t="str">
        <x:v>Super-Wiss-1.3.1-Source-Candidate.zip</x:v>
      </x:c>
      <x:c r="E236" s="4" t="str">
        <x:v>outfit/yakine/frost; 128×160, 14 frames; weaponLayer=baked; unchanged original asset bytes.</x:v>
      </x:c>
    </x:row>
    <x:row r="237" ht="48" customHeight="1">
      <x:c r="A237" s="4" t="str">
        <x:v>yakine-frost-still.png</x:v>
      </x:c>
      <x:c r="B237" s="4" t="str">
        <x:v>assets/ascension/outfits/yakine-frost-still.png</x:v>
      </x:c>
      <x:c r="C237" s="4" t="str">
        <x:v>Previously owned legacy whole looks; game/render.js, game/ascension-ui.js</x:v>
      </x:c>
      <x:c r="D237" s="4" t="str">
        <x:v>Super-Wiss-1.3.1-Source-Candidate.zip</x:v>
      </x:c>
      <x:c r="E237" s="4" t="str">
        <x:v>outfit/yakine/frost/still; 128×160, 1 frames; weaponLayer=baked; unchanged original asset bytes.</x:v>
      </x:c>
    </x:row>
    <x:row r="238" ht="48" customHeight="1">
      <x:c r="A238" s="4" t="str">
        <x:v>yakine-ember.png</x:v>
      </x:c>
      <x:c r="B238" s="4" t="str">
        <x:v>assets/ascension/outfits/yakine-ember.png</x:v>
      </x:c>
      <x:c r="C238" s="4" t="str">
        <x:v>Previously owned legacy whole looks; game/render.js, game/ascension-ui.js</x:v>
      </x:c>
      <x:c r="D238" s="4" t="str">
        <x:v>Super-Wiss-1.3.1-Source-Candidate.zip</x:v>
      </x:c>
      <x:c r="E238" s="4" t="str">
        <x:v>outfit/yakine/ember; 128×160, 14 frames; weaponLayer=baked; unchanged original asset bytes.</x:v>
      </x:c>
    </x:row>
    <x:row r="239" ht="48" customHeight="1">
      <x:c r="A239" s="4" t="str">
        <x:v>yakine-ember-still.png</x:v>
      </x:c>
      <x:c r="B239" s="4" t="str">
        <x:v>assets/ascension/outfits/yakine-ember-still.png</x:v>
      </x:c>
      <x:c r="C239" s="4" t="str">
        <x:v>Previously owned legacy whole looks; game/render.js, game/ascension-ui.js</x:v>
      </x:c>
      <x:c r="D239" s="4" t="str">
        <x:v>Super-Wiss-1.3.1-Source-Candidate.zip</x:v>
      </x:c>
      <x:c r="E239" s="4" t="str">
        <x:v>outfit/yakine/ember/still; 128×160, 1 frames; weaponLayer=baked; unchanged original asset bytes.</x:v>
      </x:c>
    </x:row>
    <x:row r="240" ht="48" customHeight="1">
      <x:c r="A240" s="4" t="str">
        <x:v>taky-frost.png</x:v>
      </x:c>
      <x:c r="B240" s="4" t="str">
        <x:v>assets/ascension/outfits/taky-frost.png</x:v>
      </x:c>
      <x:c r="C240" s="4" t="str">
        <x:v>Previously owned legacy whole looks; game/render.js, game/ascension-ui.js</x:v>
      </x:c>
      <x:c r="D240" s="4" t="str">
        <x:v>Super-Wiss-1.3.1-Source-Candidate.zip</x:v>
      </x:c>
      <x:c r="E240" s="4" t="str">
        <x:v>outfit/taky/frost; 128×160, 14 frames; weaponLayer=baked; unchanged original asset bytes.</x:v>
      </x:c>
    </x:row>
    <x:row r="241" ht="48" customHeight="1">
      <x:c r="A241" s="4" t="str">
        <x:v>taky-frost-still.png</x:v>
      </x:c>
      <x:c r="B241" s="4" t="str">
        <x:v>assets/ascension/outfits/taky-frost-still.png</x:v>
      </x:c>
      <x:c r="C241" s="4" t="str">
        <x:v>Previously owned legacy whole looks; game/render.js, game/ascension-ui.js</x:v>
      </x:c>
      <x:c r="D241" s="4" t="str">
        <x:v>Super-Wiss-1.3.1-Source-Candidate.zip</x:v>
      </x:c>
      <x:c r="E241" s="4" t="str">
        <x:v>outfit/taky/frost/still; 128×160, 1 frames; weaponLayer=baked; unchanged original asset bytes.</x:v>
      </x:c>
    </x:row>
    <x:row r="242" ht="48" customHeight="1">
      <x:c r="A242" s="4" t="str">
        <x:v>taky-ember.png</x:v>
      </x:c>
      <x:c r="B242" s="4" t="str">
        <x:v>assets/ascension/outfits/taky-ember.png</x:v>
      </x:c>
      <x:c r="C242" s="4" t="str">
        <x:v>Previously owned legacy whole looks; game/render.js, game/ascension-ui.js</x:v>
      </x:c>
      <x:c r="D242" s="4" t="str">
        <x:v>Super-Wiss-1.3.1-Source-Candidate.zip</x:v>
      </x:c>
      <x:c r="E242" s="4" t="str">
        <x:v>outfit/taky/ember; 128×160, 14 frames; weaponLayer=baked; unchanged original asset bytes.</x:v>
      </x:c>
    </x:row>
    <x:row r="243" ht="48" customHeight="1">
      <x:c r="A243" s="4" t="str">
        <x:v>taky-ember-still.png</x:v>
      </x:c>
      <x:c r="B243" s="4" t="str">
        <x:v>assets/ascension/outfits/taky-ember-still.png</x:v>
      </x:c>
      <x:c r="C243" s="4" t="str">
        <x:v>Previously owned legacy whole looks; game/render.js, game/ascension-ui.js</x:v>
      </x:c>
      <x:c r="D243" s="4" t="str">
        <x:v>Super-Wiss-1.3.1-Source-Candidate.zip</x:v>
      </x:c>
      <x:c r="E243" s="4" t="str">
        <x:v>outfit/taky/ember/still; 128×160, 1 frames; weaponLayer=baked; unchanged original asset bytes.</x:v>
      </x:c>
    </x:row>
    <x:row r="244" ht="48" customHeight="1">
      <x:c r="A244" s="4" t="str">
        <x:v>garsi-frost.png</x:v>
      </x:c>
      <x:c r="B244" s="4" t="str">
        <x:v>assets/ascension/outfits/garsi-frost.png</x:v>
      </x:c>
      <x:c r="C244" s="4" t="str">
        <x:v>Previously owned legacy whole looks; game/render.js, game/ascension-ui.js</x:v>
      </x:c>
      <x:c r="D244" s="4" t="str">
        <x:v>Super-Wiss-1.3.1-Source-Candidate.zip</x:v>
      </x:c>
      <x:c r="E244" s="4" t="str">
        <x:v>outfit/garsi/frost; 128×160, 14 frames; weaponLayer=baked; unchanged original asset bytes.</x:v>
      </x:c>
    </x:row>
    <x:row r="245" ht="48" customHeight="1">
      <x:c r="A245" s="4" t="str">
        <x:v>garsi-frost-still.png</x:v>
      </x:c>
      <x:c r="B245" s="4" t="str">
        <x:v>assets/ascension/outfits/garsi-frost-still.png</x:v>
      </x:c>
      <x:c r="C245" s="4" t="str">
        <x:v>Previously owned legacy whole looks; game/render.js, game/ascension-ui.js</x:v>
      </x:c>
      <x:c r="D245" s="4" t="str">
        <x:v>Super-Wiss-1.3.1-Source-Candidate.zip</x:v>
      </x:c>
      <x:c r="E245" s="4" t="str">
        <x:v>outfit/garsi/frost/still; 128×160, 1 frames; weaponLayer=baked; unchanged original asset bytes.</x:v>
      </x:c>
    </x:row>
    <x:row r="246" ht="48" customHeight="1">
      <x:c r="A246" s="4" t="str">
        <x:v>garsi-ember.png</x:v>
      </x:c>
      <x:c r="B246" s="4" t="str">
        <x:v>assets/ascension/outfits/garsi-ember.png</x:v>
      </x:c>
      <x:c r="C246" s="4" t="str">
        <x:v>Previously owned legacy whole looks; game/render.js, game/ascension-ui.js</x:v>
      </x:c>
      <x:c r="D246" s="4" t="str">
        <x:v>Super-Wiss-1.3.1-Source-Candidate.zip</x:v>
      </x:c>
      <x:c r="E246" s="4" t="str">
        <x:v>outfit/garsi/ember; 128×160, 14 frames; weaponLayer=baked; unchanged original asset bytes.</x:v>
      </x:c>
    </x:row>
    <x:row r="247" ht="48" customHeight="1">
      <x:c r="A247" s="4" t="str">
        <x:v>garsi-ember-still.png</x:v>
      </x:c>
      <x:c r="B247" s="4" t="str">
        <x:v>assets/ascension/outfits/garsi-ember-still.png</x:v>
      </x:c>
      <x:c r="C247" s="4" t="str">
        <x:v>Previously owned legacy whole looks; game/render.js, game/ascension-ui.js</x:v>
      </x:c>
      <x:c r="D247" s="4" t="str">
        <x:v>Super-Wiss-1.3.1-Source-Candidate.zip</x:v>
      </x:c>
      <x:c r="E247" s="4" t="str">
        <x:v>outfit/garsi/ember/still; 128×160, 1 frames; weaponLayer=baked; unchanged original asset bytes.</x:v>
      </x:c>
    </x:row>
    <x:row r="248" ht="48" customHeight="1">
      <x:c r="A248" s="4" t="str">
        <x:v>tounsi-frost.png</x:v>
      </x:c>
      <x:c r="B248" s="4" t="str">
        <x:v>assets/ascension/outfits/tounsi-frost.png</x:v>
      </x:c>
      <x:c r="C248" s="4" t="str">
        <x:v>Previously owned legacy whole looks; game/render.js, game/ascension-ui.js</x:v>
      </x:c>
      <x:c r="D248" s="4" t="str">
        <x:v>Super-Wiss-1.3.1-Source-Candidate.zip</x:v>
      </x:c>
      <x:c r="E248" s="4" t="str">
        <x:v>outfit/tounsi/frost; 128×160, 14 frames; weaponLayer=baked; unchanged original asset bytes.</x:v>
      </x:c>
    </x:row>
    <x:row r="249" ht="48" customHeight="1">
      <x:c r="A249" s="4" t="str">
        <x:v>tounsi-frost-still.png</x:v>
      </x:c>
      <x:c r="B249" s="4" t="str">
        <x:v>assets/ascension/outfits/tounsi-frost-still.png</x:v>
      </x:c>
      <x:c r="C249" s="4" t="str">
        <x:v>Previously owned legacy whole looks; game/render.js, game/ascension-ui.js</x:v>
      </x:c>
      <x:c r="D249" s="4" t="str">
        <x:v>Super-Wiss-1.3.1-Source-Candidate.zip</x:v>
      </x:c>
      <x:c r="E249" s="4" t="str">
        <x:v>outfit/tounsi/frost/still; 128×160, 1 frames; weaponLayer=baked; unchanged original asset bytes.</x:v>
      </x:c>
    </x:row>
    <x:row r="250" ht="48" customHeight="1">
      <x:c r="A250" s="4" t="str">
        <x:v>tounsi-ember.png</x:v>
      </x:c>
      <x:c r="B250" s="4" t="str">
        <x:v>assets/ascension/outfits/tounsi-ember.png</x:v>
      </x:c>
      <x:c r="C250" s="4" t="str">
        <x:v>Previously owned legacy whole looks; game/render.js, game/ascension-ui.js</x:v>
      </x:c>
      <x:c r="D250" s="4" t="str">
        <x:v>Super-Wiss-1.3.1-Source-Candidate.zip</x:v>
      </x:c>
      <x:c r="E250" s="4" t="str">
        <x:v>outfit/tounsi/ember; 128×160, 14 frames; weaponLayer=baked; unchanged original asset bytes.</x:v>
      </x:c>
    </x:row>
    <x:row r="251" ht="48" customHeight="1">
      <x:c r="A251" s="4" t="str">
        <x:v>tounsi-ember-still.png</x:v>
      </x:c>
      <x:c r="B251" s="4" t="str">
        <x:v>assets/ascension/outfits/tounsi-ember-still.png</x:v>
      </x:c>
      <x:c r="C251" s="4" t="str">
        <x:v>Previously owned legacy whole looks; game/render.js, game/ascension-ui.js</x:v>
      </x:c>
      <x:c r="D251" s="4" t="str">
        <x:v>Super-Wiss-1.3.1-Source-Candidate.zip</x:v>
      </x:c>
      <x:c r="E251" s="4" t="str">
        <x:v>outfit/tounsi/ember/still; 128×160, 1 frames; weaponLayer=baked; unchanged original asset bytes.</x:v>
      </x:c>
    </x:row>
    <x:row r="252" ht="48" customHeight="1">
      <x:c r="A252" s="4" t="str">
        <x:v>youssef-frost.png</x:v>
      </x:c>
      <x:c r="B252" s="4" t="str">
        <x:v>assets/ascension/outfits/youssef-frost.png</x:v>
      </x:c>
      <x:c r="C252" s="4" t="str">
        <x:v>Previously owned legacy whole looks; game/render.js, game/ascension-ui.js</x:v>
      </x:c>
      <x:c r="D252" s="4" t="str">
        <x:v>Super-Wiss-1.3.1-Source-Candidate.zip</x:v>
      </x:c>
      <x:c r="E252" s="4" t="str">
        <x:v>outfit/youssef/frost; 128×160, 14 frames; weaponLayer=baked; unchanged original asset bytes.</x:v>
      </x:c>
    </x:row>
    <x:row r="253" ht="48" customHeight="1">
      <x:c r="A253" s="4" t="str">
        <x:v>youssef-frost-still.png</x:v>
      </x:c>
      <x:c r="B253" s="4" t="str">
        <x:v>assets/ascension/outfits/youssef-frost-still.png</x:v>
      </x:c>
      <x:c r="C253" s="4" t="str">
        <x:v>Previously owned legacy whole looks; game/render.js, game/ascension-ui.js</x:v>
      </x:c>
      <x:c r="D253" s="4" t="str">
        <x:v>Super-Wiss-1.3.1-Source-Candidate.zip</x:v>
      </x:c>
      <x:c r="E253" s="4" t="str">
        <x:v>outfit/youssef/frost/still; 128×160, 1 frames; weaponLayer=baked; unchanged original asset bytes.</x:v>
      </x:c>
    </x:row>
    <x:row r="254" ht="48" customHeight="1">
      <x:c r="A254" s="4" t="str">
        <x:v>youssef-ember.png</x:v>
      </x:c>
      <x:c r="B254" s="4" t="str">
        <x:v>assets/ascension/outfits/youssef-ember.png</x:v>
      </x:c>
      <x:c r="C254" s="4" t="str">
        <x:v>Previously owned legacy whole looks; game/render.js, game/ascension-ui.js</x:v>
      </x:c>
      <x:c r="D254" s="4" t="str">
        <x:v>Super-Wiss-1.3.1-Source-Candidate.zip</x:v>
      </x:c>
      <x:c r="E254" s="4" t="str">
        <x:v>outfit/youssef/ember; 128×160, 14 frames; weaponLayer=baked; unchanged original asset bytes.</x:v>
      </x:c>
    </x:row>
    <x:row r="255" ht="48" customHeight="1">
      <x:c r="A255" s="4" t="str">
        <x:v>youssef-ember-still.png</x:v>
      </x:c>
      <x:c r="B255" s="4" t="str">
        <x:v>assets/ascension/outfits/youssef-ember-still.png</x:v>
      </x:c>
      <x:c r="C255" s="4" t="str">
        <x:v>Previously owned legacy whole looks; game/render.js, game/ascension-ui.js</x:v>
      </x:c>
      <x:c r="D255" s="4" t="str">
        <x:v>Super-Wiss-1.3.1-Source-Candidate.zip</x:v>
      </x:c>
      <x:c r="E255" s="4" t="str">
        <x:v>outfit/youssef/ember/still; 128×160, 1 frames; weaponLayer=baked; unchanged original asset bytes.</x:v>
      </x:c>
    </x:row>
    <x:row r="256" ht="48" customHeight="1">
      <x:c r="A256" s="4" t="str">
        <x:v>loey-frost.png</x:v>
      </x:c>
      <x:c r="B256" s="4" t="str">
        <x:v>assets/ascension/outfits/loey-frost.png</x:v>
      </x:c>
      <x:c r="C256" s="4" t="str">
        <x:v>Previously owned legacy whole looks; game/render.js, game/ascension-ui.js</x:v>
      </x:c>
      <x:c r="D256" s="4" t="str">
        <x:v>Super-Wiss-1.3.1-Source-Candidate.zip</x:v>
      </x:c>
      <x:c r="E256" s="4" t="str">
        <x:v>outfit/loey/frost; 128×160, 14 frames; weaponLayer=baked; unchanged original asset bytes.</x:v>
      </x:c>
    </x:row>
    <x:row r="257" ht="48" customHeight="1">
      <x:c r="A257" s="4" t="str">
        <x:v>loey-frost-still.png</x:v>
      </x:c>
      <x:c r="B257" s="4" t="str">
        <x:v>assets/ascension/outfits/loey-frost-still.png</x:v>
      </x:c>
      <x:c r="C257" s="4" t="str">
        <x:v>Previously owned legacy whole looks; game/render.js, game/ascension-ui.js</x:v>
      </x:c>
      <x:c r="D257" s="4" t="str">
        <x:v>Super-Wiss-1.3.1-Source-Candidate.zip</x:v>
      </x:c>
      <x:c r="E257" s="4" t="str">
        <x:v>outfit/loey/frost/still; 128×160, 1 frames; weaponLayer=baked; unchanged original asset bytes.</x:v>
      </x:c>
    </x:row>
    <x:row r="258" ht="48" customHeight="1">
      <x:c r="A258" s="4" t="str">
        <x:v>loey-ember.png</x:v>
      </x:c>
      <x:c r="B258" s="4" t="str">
        <x:v>assets/ascension/outfits/loey-ember.png</x:v>
      </x:c>
      <x:c r="C258" s="4" t="str">
        <x:v>Previously owned legacy whole looks; game/render.js, game/ascension-ui.js</x:v>
      </x:c>
      <x:c r="D258" s="4" t="str">
        <x:v>Super-Wiss-1.3.1-Source-Candidate.zip</x:v>
      </x:c>
      <x:c r="E258" s="4" t="str">
        <x:v>outfit/loey/ember; 128×160, 14 frames; weaponLayer=baked; unchanged original asset bytes.</x:v>
      </x:c>
    </x:row>
    <x:row r="259" ht="48" customHeight="1">
      <x:c r="A259" s="4" t="str">
        <x:v>loey-ember-still.png</x:v>
      </x:c>
      <x:c r="B259" s="4" t="str">
        <x:v>assets/ascension/outfits/loey-ember-still.png</x:v>
      </x:c>
      <x:c r="C259" s="4" t="str">
        <x:v>Previously owned legacy whole looks; game/render.js, game/ascension-ui.js</x:v>
      </x:c>
      <x:c r="D259" s="4" t="str">
        <x:v>Super-Wiss-1.3.1-Source-Candidate.zip</x:v>
      </x:c>
      <x:c r="E259" s="4" t="str">
        <x:v>outfit/loey/ember/still; 128×160, 1 frames; weaponLayer=baked; unchanged original asset bytes.</x:v>
      </x:c>
    </x:row>
    <x:row r="260" ht="48" customHeight="1">
      <x:c r="A260" s="4" t="str">
        <x:v>rayan-frost.png</x:v>
      </x:c>
      <x:c r="B260" s="4" t="str">
        <x:v>assets/ascension/outfits/rayan-frost.png</x:v>
      </x:c>
      <x:c r="C260" s="4" t="str">
        <x:v>Previously owned legacy whole looks; game/render.js, game/ascension-ui.js</x:v>
      </x:c>
      <x:c r="D260" s="4" t="str">
        <x:v>Super-Wiss-1.3.1-Source-Candidate.zip</x:v>
      </x:c>
      <x:c r="E260" s="4" t="str">
        <x:v>outfit/rayan/frost; 128×160, 14 frames; weaponLayer=baked; unchanged original asset bytes.</x:v>
      </x:c>
    </x:row>
    <x:row r="261" ht="48" customHeight="1">
      <x:c r="A261" s="4" t="str">
        <x:v>rayan-frost-still.png</x:v>
      </x:c>
      <x:c r="B261" s="4" t="str">
        <x:v>assets/ascension/outfits/rayan-frost-still.png</x:v>
      </x:c>
      <x:c r="C261" s="4" t="str">
        <x:v>Previously owned legacy whole looks; game/render.js, game/ascension-ui.js</x:v>
      </x:c>
      <x:c r="D261" s="4" t="str">
        <x:v>Super-Wiss-1.3.1-Source-Candidate.zip</x:v>
      </x:c>
      <x:c r="E261" s="4" t="str">
        <x:v>outfit/rayan/frost/still; 128×160, 1 frames; weaponLayer=baked; unchanged original asset bytes.</x:v>
      </x:c>
    </x:row>
    <x:row r="262" ht="48" customHeight="1">
      <x:c r="A262" s="4" t="str">
        <x:v>rayan-ember.png</x:v>
      </x:c>
      <x:c r="B262" s="4" t="str">
        <x:v>assets/ascension/outfits/rayan-ember.png</x:v>
      </x:c>
      <x:c r="C262" s="4" t="str">
        <x:v>Previously owned legacy whole looks; game/render.js, game/ascension-ui.js</x:v>
      </x:c>
      <x:c r="D262" s="4" t="str">
        <x:v>Super-Wiss-1.3.1-Source-Candidate.zip</x:v>
      </x:c>
      <x:c r="E262" s="4" t="str">
        <x:v>outfit/rayan/ember; 128×160, 14 frames; weaponLayer=baked; unchanged original asset bytes.</x:v>
      </x:c>
    </x:row>
    <x:row r="263" ht="48" customHeight="1">
      <x:c r="A263" s="4" t="str">
        <x:v>rayan-ember-still.png</x:v>
      </x:c>
      <x:c r="B263" s="4" t="str">
        <x:v>assets/ascension/outfits/rayan-ember-still.png</x:v>
      </x:c>
      <x:c r="C263" s="4" t="str">
        <x:v>Previously owned legacy whole looks; game/render.js, game/ascension-ui.js</x:v>
      </x:c>
      <x:c r="D263" s="4" t="str">
        <x:v>Super-Wiss-1.3.1-Source-Candidate.zip</x:v>
      </x:c>
      <x:c r="E263" s="4" t="str">
        <x:v>outfit/rayan/ember/still; 128×160, 1 frames; weaponLayer=baked; unchanged original asset bytes.</x:v>
      </x:c>
    </x:row>
    <x:row r="264" ht="48" customHeight="1">
      <x:c r="A264" s="4" t="str">
        <x:v>mira-frost.png</x:v>
      </x:c>
      <x:c r="B264" s="4" t="str">
        <x:v>assets/ascension/outfits/mira-frost.png</x:v>
      </x:c>
      <x:c r="C264" s="4" t="str">
        <x:v>Previously owned legacy whole looks; game/render.js, game/ascension-ui.js</x:v>
      </x:c>
      <x:c r="D264" s="4" t="str">
        <x:v>Super-Wiss-1.3.1-Source-Candidate.zip</x:v>
      </x:c>
      <x:c r="E264" s="4" t="str">
        <x:v>outfit/mira/frost; 128×160, 14 frames; weaponLayer=baked; unchanged original asset bytes.</x:v>
      </x:c>
    </x:row>
    <x:row r="265" ht="48" customHeight="1">
      <x:c r="A265" s="4" t="str">
        <x:v>mira-frost-still.png</x:v>
      </x:c>
      <x:c r="B265" s="4" t="str">
        <x:v>assets/ascension/outfits/mira-frost-still.png</x:v>
      </x:c>
      <x:c r="C265" s="4" t="str">
        <x:v>Previously owned legacy whole looks; game/render.js, game/ascension-ui.js</x:v>
      </x:c>
      <x:c r="D265" s="4" t="str">
        <x:v>Super-Wiss-1.3.1-Source-Candidate.zip</x:v>
      </x:c>
      <x:c r="E265" s="4" t="str">
        <x:v>outfit/mira/frost/still; 128×160, 1 frames; weaponLayer=baked; unchanged original asset bytes.</x:v>
      </x:c>
    </x:row>
    <x:row r="266" ht="48" customHeight="1">
      <x:c r="A266" s="4" t="str">
        <x:v>mira-ember.png</x:v>
      </x:c>
      <x:c r="B266" s="4" t="str">
        <x:v>assets/ascension/outfits/mira-ember.png</x:v>
      </x:c>
      <x:c r="C266" s="4" t="str">
        <x:v>Previously owned legacy whole looks; game/render.js, game/ascension-ui.js</x:v>
      </x:c>
      <x:c r="D266" s="4" t="str">
        <x:v>Super-Wiss-1.3.1-Source-Candidate.zip</x:v>
      </x:c>
      <x:c r="E266" s="4" t="str">
        <x:v>outfit/mira/ember; 128×160, 14 frames; weaponLayer=baked; unchanged original asset bytes.</x:v>
      </x:c>
    </x:row>
    <x:row r="267" ht="48" customHeight="1">
      <x:c r="A267" s="4" t="str">
        <x:v>mira-ember-still.png</x:v>
      </x:c>
      <x:c r="B267" s="4" t="str">
        <x:v>assets/ascension/outfits/mira-ember-still.png</x:v>
      </x:c>
      <x:c r="C267" s="4" t="str">
        <x:v>Previously owned legacy whole looks; game/render.js, game/ascension-ui.js</x:v>
      </x:c>
      <x:c r="D267" s="4" t="str">
        <x:v>Super-Wiss-1.3.1-Source-Candidate.zip</x:v>
      </x:c>
      <x:c r="E267" s="4" t="str">
        <x:v>outfit/mira/ember/still; 128×160, 1 frames; weaponLayer=baked; unchanged original asset bytes.</x:v>
      </x:c>
    </x:row>
    <x:row r="268" ht="48" customHeight="1">
      <x:c r="A268" s="4" t="str">
        <x:v>skywolf.png</x:v>
      </x:c>
      <x:c r="B268" s="4" t="str">
        <x:v>assets/community/pets/skywolf.png</x:v>
      </x:c>
      <x:c r="C268" s="4" t="str">
        <x:v>Companion selection, detail preview, summoned combat companion; render.js / ascension-ui.js</x:v>
      </x:c>
      <x:c r="D268" s="4" t="str">
        <x:v>Super-Wiss-1.3.1-Source-Candidate.zip</x:v>
      </x:c>
      <x:c r="E268" s="4" t="str">
        <x:v>pet/skywolf; 160×128, 8 frames; unchanged original asset bytes.</x:v>
      </x:c>
    </x:row>
    <x:row r="269" ht="48" customHeight="1">
      <x:c r="A269" s="4" t="str">
        <x:v>skywolf-still.png</x:v>
      </x:c>
      <x:c r="B269" s="4" t="str">
        <x:v>assets/community/pets/skywolf-still.png</x:v>
      </x:c>
      <x:c r="C269" s="4" t="str">
        <x:v>Companion selection, detail preview, summoned combat companion; render.js / ascension-ui.js</x:v>
      </x:c>
      <x:c r="D269" s="4" t="str">
        <x:v>Super-Wiss-1.3.1-Source-Candidate.zip</x:v>
      </x:c>
      <x:c r="E269" s="4" t="str">
        <x:v>pet/skywolf/still; 160×128, 1 frames; unchanged original asset bytes.</x:v>
      </x:c>
    </x:row>
    <x:row r="270" ht="48" customHeight="1">
      <x:c r="A270" s="4" t="str">
        <x:v>emberguard.png</x:v>
      </x:c>
      <x:c r="B270" s="4" t="str">
        <x:v>assets/community/pets/emberguard.png</x:v>
      </x:c>
      <x:c r="C270" s="4" t="str">
        <x:v>Companion selection, detail preview, summoned combat companion; render.js / ascension-ui.js</x:v>
      </x:c>
      <x:c r="D270" s="4" t="str">
        <x:v>Super-Wiss-1.3.1-Source-Candidate.zip</x:v>
      </x:c>
      <x:c r="E270" s="4" t="str">
        <x:v>pet/emberguard; 160×128, 8 frames; unchanged original asset bytes.</x:v>
      </x:c>
    </x:row>
    <x:row r="271" ht="48" customHeight="1">
      <x:c r="A271" s="4" t="str">
        <x:v>emberguard-still.png</x:v>
      </x:c>
      <x:c r="B271" s="4" t="str">
        <x:v>assets/community/pets/emberguard-still.png</x:v>
      </x:c>
      <x:c r="C271" s="4" t="str">
        <x:v>Companion selection, detail preview, summoned combat companion; render.js / ascension-ui.js</x:v>
      </x:c>
      <x:c r="D271" s="4" t="str">
        <x:v>Super-Wiss-1.3.1-Source-Candidate.zip</x:v>
      </x:c>
      <x:c r="E271" s="4" t="str">
        <x:v>pet/emberguard/still; 160×128, 1 frames; unchanged original asset bytes.</x:v>
      </x:c>
    </x:row>
    <x:row r="272" ht="48" customHeight="1">
      <x:c r="A272" s="4" t="str">
        <x:v>gravity_gauntlet.png</x:v>
      </x:c>
      <x:c r="B272" s="4" t="str">
        <x:v>assets/weapons/gravity_gauntlet.png</x:v>
      </x:c>
      <x:c r="C272" s="4" t="str">
        <x:v>Wissem signature; all weapons in equipment catalog. Separate held layer enabled.</x:v>
      </x:c>
      <x:c r="D272" s="4" t="str">
        <x:v>Heroes_weapons-assets.zip</x:v>
      </x:c>
      <x:c r="E272" s="4" t="str">
        <x:v>weapon/gauntlet; 1254×1254; original bytes; ready, required; game/weapon-art.js and atelier-ui.js.</x:v>
      </x:c>
    </x:row>
    <x:row r="273" ht="48" customHeight="1">
      <x:c r="A273" s="4" t="str">
        <x:v>twin_fang_dagger.png</x:v>
      </x:c>
      <x:c r="B273" s="4" t="str">
        <x:v>assets/weapons/twin_fang_dagger.png</x:v>
      </x:c>
      <x:c r="C273" s="4" t="str">
        <x:v>Kael signature; all weapons in equipment catalog. Baked body: PNG not overlaid in combat.</x:v>
      </x:c>
      <x:c r="D273" s="4" t="str">
        <x:v>Heroes_weapons-assets.zip</x:v>
      </x:c>
      <x:c r="E273" s="4" t="str">
        <x:v>weapon/dual; 1254×1254; original bytes; ready, required; game/weapon-art.js and atelier-ui.js.</x:v>
      </x:c>
    </x:row>
    <x:row r="274" ht="48" customHeight="1">
      <x:c r="A274" s="4" t="str">
        <x:v>orbit_crescent_staff.png</x:v>
      </x:c>
      <x:c r="B274" s="4" t="str">
        <x:v>assets/weapons/orbit_crescent_staff.png</x:v>
      </x:c>
      <x:c r="C274" s="4" t="str">
        <x:v>Astra signature; all weapons in equipment catalog. Baked body: PNG not overlaid in combat.</x:v>
      </x:c>
      <x:c r="D274" s="4" t="str">
        <x:v>Heroes_weapons-assets.zip</x:v>
      </x:c>
      <x:c r="E274" s="4" t="str">
        <x:v>weapon/staff; 1254×1254; original bytes; ready, required; game/weapon-art.js and atelier-ui.js.</x:v>
      </x:c>
    </x:row>
    <x:row r="275" ht="48" customHeight="1">
      <x:c r="A275" s="4" t="str">
        <x:v>shadow_knife.png</x:v>
      </x:c>
      <x:c r="B275" s="4" t="str">
        <x:v>assets/weapons/shadow_knife.png</x:v>
      </x:c>
      <x:c r="C275" s="4" t="str">
        <x:v>Nyx signature; all weapons in equipment catalog. Baked body: PNG not overlaid in combat.</x:v>
      </x:c>
      <x:c r="D275" s="4" t="str">
        <x:v>Heroes_weapons-assets.zip</x:v>
      </x:c>
      <x:c r="E275" s="4" t="str">
        <x:v>weapon/dagger; 1254×1254; original bytes; ready, required; game/weapon-art.js and atelier-ui.js.</x:v>
      </x:c>
    </x:row>
    <x:row r="276" ht="48" customHeight="1">
      <x:c r="A276" s="4" t="str">
        <x:v>stonebreaker_hammer.png</x:v>
      </x:c>
      <x:c r="B276" s="4" t="str">
        <x:v>assets/weapons/stonebreaker_hammer.png</x:v>
      </x:c>
      <x:c r="C276" s="4" t="str">
        <x:v>Bront signature; all weapons in equipment catalog. Baked body: PNG not overlaid in combat.</x:v>
      </x:c>
      <x:c r="D276" s="4" t="str">
        <x:v>Heroes_weapons-assets.zip</x:v>
      </x:c>
      <x:c r="E276" s="4" t="str">
        <x:v>weapon/shield; 1254×1254; original bytes; ready, required; game/weapon-art.js and atelier-ui.js.</x:v>
      </x:c>
    </x:row>
    <x:row r="277" ht="48" customHeight="1">
      <x:c r="A277" s="4" t="str">
        <x:v>wind_scimitar.png</x:v>
      </x:c>
      <x:c r="B277" s="4" t="str">
        <x:v>assets/weapons/wind_scimitar.png</x:v>
      </x:c>
      <x:c r="C277" s="4" t="str">
        <x:v>Zephyr signature; all weapons in equipment catalog. Baked body: PNG not overlaid in combat.</x:v>
      </x:c>
      <x:c r="D277" s="4" t="str">
        <x:v>Heroes_weapons-assets.zip</x:v>
      </x:c>
      <x:c r="E277" s="4" t="str">
        <x:v>weapon/sabre; 1254×1254; original bytes; ready, required; game/weapon-art.js and atelier-ui.js.</x:v>
      </x:c>
    </x:row>
    <x:row r="278" ht="48" customHeight="1">
      <x:c r="A278" s="4" t="str">
        <x:v>clockwork_knuckle.png</x:v>
      </x:c>
      <x:c r="B278" s="4" t="str">
        <x:v>assets/weapons/clockwork_knuckle.png</x:v>
      </x:c>
      <x:c r="C278" s="4" t="str">
        <x:v>Volt signature; all weapons in equipment catalog. Baked body: PNG not overlaid in combat.</x:v>
      </x:c>
      <x:c r="D278" s="4" t="str">
        <x:v>Heroes_weapons-assets.zip</x:v>
      </x:c>
      <x:c r="E278" s="4" t="str">
        <x:v>weapon/gadget; 1254×1254; original bytes; ready, required; game/weapon-art.js and atelier-ui.js.</x:v>
      </x:c>
    </x:row>
    <x:row r="279" ht="48" customHeight="1">
      <x:c r="A279" s="4" t="str">
        <x:v>sky_bow.png</x:v>
      </x:c>
      <x:c r="B279" s="4" t="str">
        <x:v>assets/weapons/sky_bow.png</x:v>
      </x:c>
      <x:c r="C279" s="4" t="str">
        <x:v>Skye signature; all weapons in equipment catalog. Baked body: PNG not overlaid in combat.</x:v>
      </x:c>
      <x:c r="D279" s="4" t="str">
        <x:v>Heroes_weapons-assets.zip</x:v>
      </x:c>
      <x:c r="E279" s="4" t="str">
        <x:v>weapon/bow; 1254×1254; original bytes; ready, required; game/weapon-art.js and atelier-ui.js.</x:v>
      </x:c>
    </x:row>
    <x:row r="280" ht="48" customHeight="1">
      <x:c r="A280" s="4" t="str">
        <x:v>sun_lance.png</x:v>
      </x:c>
      <x:c r="B280" s="4" t="str">
        <x:v>assets/weapons/sun_lance.png</x:v>
      </x:c>
      <x:c r="C280" s="4" t="str">
        <x:v>Sol signature; all weapons in equipment catalog. Baked body: PNG not overlaid in combat.</x:v>
      </x:c>
      <x:c r="D280" s="4" t="str">
        <x:v>Heroes_weapons-assets.zip</x:v>
      </x:c>
      <x:c r="E280" s="4" t="str">
        <x:v>weapon/lance; 1254×1254; original bytes; ready, required; game/weapon-art.js and atelier-ui.js.</x:v>
      </x:c>
    </x:row>
    <x:row r="281" ht="48" customHeight="1">
      <x:c r="A281" s="4" t="str">
        <x:v>frost_staff.png</x:v>
      </x:c>
      <x:c r="B281" s="4" t="str">
        <x:v>assets/weapons/frost_staff.png</x:v>
      </x:c>
      <x:c r="C281" s="4" t="str">
        <x:v>Rime signature; all weapons in equipment catalog. Baked body: PNG not overlaid in combat.</x:v>
      </x:c>
      <x:c r="D281" s="4" t="str">
        <x:v>Heroes_weapons-assets.zip</x:v>
      </x:c>
      <x:c r="E281" s="4" t="str">
        <x:v>weapon/frost_staff; 1254×1254; original bytes; ready, required; game/weapon-art.js and atelier-ui.js.</x:v>
      </x:c>
    </x:row>
    <x:row r="282" ht="48" customHeight="1">
      <x:c r="A282" s="4" t="str">
        <x:v>logo.png</x:v>
      </x:c>
      <x:c r="B282" s="4" t="str">
        <x:v>assets/branding/logo.png</x:v>
      </x:c>
      <x:c r="C282" s="4" t="str">
        <x:v>Home/boot brand lockup; game/index.html + bundle static-image resolver</x:v>
      </x:c>
      <x:c r="D282" s="4" t="str">
        <x:v>Super-Wiss-1.3.1-Source-Candidate.zip</x:v>
      </x:c>
      <x:c r="E282" s="4" t="str">
        <x:v>branding/logo; 640×640, 1 frames; unchanged original asset bytes.</x:v>
      </x:c>
    </x:row>
    <x:row r="283" ht="48" customHeight="1">
      <x:c r="A283" s="4" t="str">
        <x:v>coin.png</x:v>
      </x:c>
      <x:c r="B283" s="4" t="str">
        <x:v>assets/ui/icons/coin.png</x:v>
      </x:c>
      <x:c r="C283" s="4" t="str">
        <x:v>UI frame/icon consumer: game/audio.js:78; game/content.js:2; game/engine.js:826</x:v>
      </x:c>
      <x:c r="D283" s="4" t="str">
        <x:v>art-source/ui/Assets_icons.png</x:v>
      </x:c>
      <x:c r="E283" s="4" t="str">
        <x:v>ui/icons/coin; crop [34, 75, 120, 164]; source pixels unchanged. Full source lines in UI-ASSET-MAPPING.md.</x:v>
      </x:c>
    </x:row>
    <x:row r="284" ht="48" customHeight="1">
      <x:c r="A284" s="4" t="str">
        <x:v>star.png</x:v>
      </x:c>
      <x:c r="B284" s="4" t="str">
        <x:v>assets/ui/icons/star.png</x:v>
      </x:c>
      <x:c r="C284" s="4" t="str">
        <x:v>UI frame/icon consumer: game/content.js:2; game/app.js:102; game/app.js:108</x:v>
      </x:c>
      <x:c r="D284" s="4" t="str">
        <x:v>art-source/ui/Assets_icons.png</x:v>
      </x:c>
      <x:c r="E284" s="4" t="str">
        <x:v>ui/icons/star; crop [125, 72, 221, 167]; source pixels unchanged. Full source lines in UI-ASSET-MAPPING.md.</x:v>
      </x:c>
    </x:row>
    <x:row r="285" ht="48" customHeight="1">
      <x:c r="A285" s="4" t="str">
        <x:v>plus.png</x:v>
      </x:c>
      <x:c r="B285" s="4" t="str">
        <x:v>assets/ui/icons/plus.png</x:v>
      </x:c>
      <x:c r="C285" s="4" t="str">
        <x:v>UI frame/icon consumer: game/index.html:4</x:v>
      </x:c>
      <x:c r="D285" s="4" t="str">
        <x:v>art-source/ui/Assets_icons.png</x:v>
      </x:c>
      <x:c r="E285" s="4" t="str">
        <x:v>ui/icons/plus; crop [239, 83, 322, 165]; source pixels unchanged. Full source lines in UI-ASSET-MAPPING.md.</x:v>
      </x:c>
    </x:row>
    <x:row r="286" ht="48" customHeight="1">
      <x:c r="A286" s="4" t="str">
        <x:v>friends.png</x:v>
      </x:c>
      <x:c r="B286" s="4" t="str">
        <x:v>assets/ui/icons/friends.png</x:v>
      </x:c>
      <x:c r="C286" s="4" t="str">
        <x:v>UI frame/icon consumer: game/ascension-ui.js:95; game/social.js:11; game/index.html:4</x:v>
      </x:c>
      <x:c r="D286" s="4" t="str">
        <x:v>art-source/ui/Assets_icons.png</x:v>
      </x:c>
      <x:c r="E286" s="4" t="str">
        <x:v>ui/icons/friends; crop [340, 79, 433, 161]; source pixels unchanged. Full source lines in UI-ASSET-MAPPING.md.</x:v>
      </x:c>
    </x:row>
    <x:row r="287" ht="48" customHeight="1">
      <x:c r="A287" s="4" t="str">
        <x:v>settings.png</x:v>
      </x:c>
      <x:c r="B287" s="4" t="str">
        <x:v>assets/ui/icons/settings.png</x:v>
      </x:c>
      <x:c r="C287" s="4" t="str">
        <x:v>UI frame/icon consumer: game/content.js:2; game/app.js:151; game/app.js:239</x:v>
      </x:c>
      <x:c r="D287" s="4" t="str">
        <x:v>art-source/ui/Assets_icons.png</x:v>
      </x:c>
      <x:c r="E287" s="4" t="str">
        <x:v>ui/icons/settings; crop [448, 73, 545, 171]; source pixels unchanged. Full source lines in UI-ASSET-MAPPING.md.</x:v>
      </x:c>
    </x:row>
    <x:row r="288" ht="48" customHeight="1">
      <x:c r="A288" s="4" t="str">
        <x:v>close.png</x:v>
      </x:c>
      <x:c r="B288" s="4" t="str">
        <x:v>assets/ui/icons/close.png</x:v>
      </x:c>
      <x:c r="C288" s="4" t="str">
        <x:v>UI frame/icon consumer: game/ascension-ui.js:58; game/app.js:87; game/app.js:153</x:v>
      </x:c>
      <x:c r="D288" s="4" t="str">
        <x:v>art-source/ui/Assets_icons.png</x:v>
      </x:c>
      <x:c r="E288" s="4" t="str">
        <x:v>ui/icons/close; crop [564, 80, 648, 164]; source pixels unchanged. Full source lines in UI-ASSET-MAPPING.md.</x:v>
      </x:c>
    </x:row>
    <x:row r="289" ht="48" customHeight="1">
      <x:c r="A289" s="4" t="str">
        <x:v>edit.png</x:v>
      </x:c>
      <x:c r="B289" s="4" t="str">
        <x:v>assets/ui/icons/edit.png</x:v>
      </x:c>
      <x:c r="C289" s="4" t="str">
        <x:v>Registered spare/dynamic-only; not claimed visible</x:v>
      </x:c>
      <x:c r="D289" s="4" t="str">
        <x:v>art-source/ui/Assets_icons.png</x:v>
      </x:c>
      <x:c r="E289" s="4" t="str">
        <x:v>ui/icons/edit; crop [671, 79, 757, 164]; source pixels unchanged. No direct consumer found in source scan.</x:v>
      </x:c>
    </x:row>
    <x:row r="290" ht="48" customHeight="1">
      <x:c r="A290" s="4" t="str">
        <x:v>help.png</x:v>
      </x:c>
      <x:c r="B290" s="4" t="str">
        <x:v>assets/ui/icons/help.png</x:v>
      </x:c>
      <x:c r="C290" s="4" t="str">
        <x:v>UI frame/icon consumer: game/app.js:283</x:v>
      </x:c>
      <x:c r="D290" s="4" t="str">
        <x:v>art-source/ui/Assets_icons.png</x:v>
      </x:c>
      <x:c r="E290" s="4" t="str">
        <x:v>ui/icons/help; crop [778, 78, 863, 163]; source pixels unchanged. Full source lines in UI-ASSET-MAPPING.md.</x:v>
      </x:c>
    </x:row>
    <x:row r="291" ht="48" customHeight="1">
      <x:c r="A291" s="4" t="str">
        <x:v>info.png</x:v>
      </x:c>
      <x:c r="B291" s="4" t="str">
        <x:v>assets/ui/icons/info.png</x:v>
      </x:c>
      <x:c r="C291" s="4" t="str">
        <x:v>UI frame/icon consumer: game/app.js:283</x:v>
      </x:c>
      <x:c r="D291" s="4" t="str">
        <x:v>art-source/ui/Assets_icons.png</x:v>
      </x:c>
      <x:c r="E291" s="4" t="str">
        <x:v>ui/icons/info; crop [887, 78, 972, 163]; source pixels unchanged. Full source lines in UI-ASSET-MAPPING.md.</x:v>
      </x:c>
    </x:row>
    <x:row r="292" ht="48" customHeight="1">
      <x:c r="A292" s="4" t="str">
        <x:v>check.png</x:v>
      </x:c>
      <x:c r="B292" s="4" t="str">
        <x:v>assets/ui/icons/check.png</x:v>
      </x:c>
      <x:c r="C292" s="4" t="str">
        <x:v>UI frame/icon consumer: game/atelier-ui.js:15; game/app.js:118; game/app.js:131</x:v>
      </x:c>
      <x:c r="D292" s="4" t="str">
        <x:v>art-source/ui/Assets_icons.png</x:v>
      </x:c>
      <x:c r="E292" s="4" t="str">
        <x:v>ui/icons/check; crop [988, 78, 1096, 165]; source pixels unchanged. Full source lines in UI-ASSET-MAPPING.md.</x:v>
      </x:c>
    </x:row>
    <x:row r="293" ht="48" customHeight="1">
      <x:c r="A293" s="4" t="str">
        <x:v>lock.png</x:v>
      </x:c>
      <x:c r="B293" s="4" t="str">
        <x:v>assets/ui/icons/lock.png</x:v>
      </x:c>
      <x:c r="C293" s="4" t="str">
        <x:v>UI frame/icon consumer: game/atelier-ui.js:33; game/ascension-ui.js:77; game/app.js:102</x:v>
      </x:c>
      <x:c r="D293" s="4" t="str">
        <x:v>art-source/ui/Assets_icons.png</x:v>
      </x:c>
      <x:c r="E293" s="4" t="str">
        <x:v>ui/icons/lock; crop [1222, 67, 1300, 162]; source pixels unchanged. Full source lines in UI-ASSET-MAPPING.md.</x:v>
      </x:c>
    </x:row>
    <x:row r="294" ht="48" customHeight="1">
      <x:c r="A294" s="4" t="str">
        <x:v>online.png</x:v>
      </x:c>
      <x:c r="B294" s="4" t="str">
        <x:v>assets/ui/icons/online.png</x:v>
      </x:c>
      <x:c r="C294" s="4" t="str">
        <x:v>Registered spare/dynamic-only; not claimed visible</x:v>
      </x:c>
      <x:c r="D294" s="4" t="str">
        <x:v>art-source/ui/Assets_icons.png</x:v>
      </x:c>
      <x:c r="E294" s="4" t="str">
        <x:v>ui/icons/online; crop [1332, 83, 1408, 159]; source pixels unchanged. No direct consumer found in source scan.</x:v>
      </x:c>
    </x:row>
    <x:row r="295" ht="48" customHeight="1">
      <x:c r="A295" s="4" t="str">
        <x:v>clock.png</x:v>
      </x:c>
      <x:c r="B295" s="4" t="str">
        <x:v>assets/ui/icons/clock.png</x:v>
      </x:c>
      <x:c r="C295" s="4" t="str">
        <x:v>UI frame/icon consumer: game/atelier-ui.js:89; game/content.js:2; game/engine.js:88</x:v>
      </x:c>
      <x:c r="D295" s="4" t="str">
        <x:v>art-source/ui/Assets_icons.png</x:v>
      </x:c>
      <x:c r="E295" s="4" t="str">
        <x:v>ui/icons/clock; crop [29, 206, 120, 297]; source pixels unchanged. Full source lines in UI-ASSET-MAPPING.md.</x:v>
      </x:c>
    </x:row>
    <x:row r="296" ht="48" customHeight="1">
      <x:c r="A296" s="4" t="str">
        <x:v>daily.png</x:v>
      </x:c>
      <x:c r="B296" s="4" t="str">
        <x:v>assets/ui/icons/daily.png</x:v>
      </x:c>
      <x:c r="C296" s="4" t="str">
        <x:v>UI frame/icon consumer: game/ascension-ui.js:86; game/ascension.js:35; game/upgrade-ui.js:9</x:v>
      </x:c>
      <x:c r="D296" s="4" t="str">
        <x:v>art-source/ui/Assets_icons.png</x:v>
      </x:c>
      <x:c r="E296" s="4" t="str">
        <x:v>ui/icons/daily; crop [139, 207, 218, 294]; source pixels unchanged. Full source lines in UI-ASSET-MAPPING.md.</x:v>
      </x:c>
    </x:row>
    <x:row r="297" ht="48" customHeight="1">
      <x:c r="A297" s="4" t="str">
        <x:v>home.png</x:v>
      </x:c>
      <x:c r="B297" s="4" t="str">
        <x:v>assets/ui/icons/home.png</x:v>
      </x:c>
      <x:c r="C297" s="4" t="str">
        <x:v>UI frame/icon consumer: game/app.js:39; game/app.js:239; game/app.js:252</x:v>
      </x:c>
      <x:c r="D297" s="4" t="str">
        <x:v>art-source/ui/Assets_icons.png</x:v>
      </x:c>
      <x:c r="E297" s="4" t="str">
        <x:v>ui/icons/home; crop [239, 205, 326, 290]; source pixels unchanged. Full source lines in UI-ASSET-MAPPING.md.</x:v>
      </x:c>
    </x:row>
    <x:row r="298" ht="48" customHeight="1">
      <x:c r="A298" s="4" t="str">
        <x:v>worlds.png</x:v>
      </x:c>
      <x:c r="B298" s="4" t="str">
        <x:v>assets/ui/icons/worlds.png</x:v>
      </x:c>
      <x:c r="C298" s="4" t="str">
        <x:v>UI frame/icon consumer: game/index.html:25</x:v>
      </x:c>
      <x:c r="D298" s="4" t="str">
        <x:v>art-source/ui/Assets_icons.png</x:v>
      </x:c>
      <x:c r="E298" s="4" t="str">
        <x:v>ui/icons/worlds; crop [343, 200, 442, 301]; source pixels unchanged. Full source lines in UI-ASSET-MAPPING.md.</x:v>
      </x:c>
    </x:row>
    <x:row r="299" ht="48" customHeight="1">
      <x:c r="A299" s="4" t="str">
        <x:v>heroes.png</x:v>
      </x:c>
      <x:c r="B299" s="4" t="str">
        <x:v>assets/ui/icons/heroes.png</x:v>
      </x:c>
      <x:c r="C299" s="4" t="str">
        <x:v>UI frame/icon consumer: game/atelier-ui.js:25; game/upgrade-ui.js:22; game/content.js:2</x:v>
      </x:c>
      <x:c r="D299" s="4" t="str">
        <x:v>art-source/ui/Assets_icons.png</x:v>
      </x:c>
      <x:c r="E299" s="4" t="str">
        <x:v>ui/icons/heroes; crop [462, 198, 556, 297]; source pixels unchanged. Full source lines in UI-ASSET-MAPPING.md.</x:v>
      </x:c>
    </x:row>
    <x:row r="300" ht="48" customHeight="1">
      <x:c r="A300" s="4" t="str">
        <x:v>pets.png</x:v>
      </x:c>
      <x:c r="B300" s="4" t="str">
        <x:v>assets/ui/icons/pets.png</x:v>
      </x:c>
      <x:c r="C300" s="4" t="str">
        <x:v>UI frame/icon consumer: game/atelier-ui.js:64; game/content.js:2; game/app.js:94</x:v>
      </x:c>
      <x:c r="D300" s="4" t="str">
        <x:v>art-source/ui/Assets_icons.png</x:v>
      </x:c>
      <x:c r="E300" s="4" t="str">
        <x:v>ui/icons/pets; crop [577, 203, 678, 292]; source pixels unchanged. Full source lines in UI-ASSET-MAPPING.md.</x:v>
      </x:c>
    </x:row>
    <x:row r="301" ht="48" customHeight="1">
      <x:c r="A301" s="4" t="str">
        <x:v>shop.png</x:v>
      </x:c>
      <x:c r="B301" s="4" t="str">
        <x:v>assets/ui/icons/shop.png</x:v>
      </x:c>
      <x:c r="C301" s="4" t="str">
        <x:v>UI frame/icon consumer: game/app.js:282; game/index.html:7; game/index.html:25</x:v>
      </x:c>
      <x:c r="D301" s="4" t="str">
        <x:v>art-source/ui/Assets_icons.png</x:v>
      </x:c>
      <x:c r="E301" s="4" t="str">
        <x:v>ui/icons/shop; crop [698, 209, 800, 296]; source pixels unchanged. Full source lines in UI-ASSET-MAPPING.md.</x:v>
      </x:c>
    </x:row>
    <x:row r="302" ht="48" customHeight="1">
      <x:c r="A302" s="4" t="str">
        <x:v>missions.png</x:v>
      </x:c>
      <x:c r="B302" s="4" t="str">
        <x:v>assets/ui/icons/missions.png</x:v>
      </x:c>
      <x:c r="C302" s="4" t="str">
        <x:v>UI frame/icon consumer: game/content.js:2; game/app.js:95; game/app.js:148</x:v>
      </x:c>
      <x:c r="D302" s="4" t="str">
        <x:v>art-source/ui/Assets_icons.png</x:v>
      </x:c>
      <x:c r="E302" s="4" t="str">
        <x:v>ui/icons/missions; crop [822, 206, 906, 298]; source pixels unchanged. Full source lines in UI-ASSET-MAPPING.md.</x:v>
      </x:c>
    </x:row>
    <x:row r="303" ht="48" customHeight="1">
      <x:c r="A303" s="4" t="str">
        <x:v>records.png</x:v>
      </x:c>
      <x:c r="B303" s="4" t="str">
        <x:v>assets/ui/icons/records.png</x:v>
      </x:c>
      <x:c r="C303" s="4" t="str">
        <x:v>UI frame/icon consumer: game/upgrade-ui.js:25; game/app.js:96; game/index.html:25</x:v>
      </x:c>
      <x:c r="D303" s="4" t="str">
        <x:v>art-source/ui/Assets_icons.png</x:v>
      </x:c>
      <x:c r="E303" s="4" t="str">
        <x:v>ui/icons/records; crop [936, 208, 1026, 294]; source pixels unchanged. Full source lines in UI-ASSET-MAPPING.md.</x:v>
      </x:c>
    </x:row>
    <x:row r="304" ht="48" customHeight="1">
      <x:c r="A304" s="4" t="str">
        <x:v>profile.png</x:v>
      </x:c>
      <x:c r="B304" s="4" t="str">
        <x:v>assets/ui/icons/profile.png</x:v>
      </x:c>
      <x:c r="C304" s="4" t="str">
        <x:v>UI frame/icon consumer: game/atelier-ui.js:15; game/app.js:96; game/app.js:118</x:v>
      </x:c>
      <x:c r="D304" s="4" t="str">
        <x:v>art-source/ui/Assets_icons.png</x:v>
      </x:c>
      <x:c r="E304" s="4" t="str">
        <x:v>ui/icons/profile; crop [1061, 201, 1153, 295]; source pixels unchanged. Full source lines in UI-ASSET-MAPPING.md.</x:v>
      </x:c>
    </x:row>
    <x:row r="305" ht="48" customHeight="1">
      <x:c r="A305" s="4" t="str">
        <x:v>swords.png</x:v>
      </x:c>
      <x:c r="B305" s="4" t="str">
        <x:v>assets/ui/icons/swords.png</x:v>
      </x:c>
      <x:c r="C305" s="4" t="str">
        <x:v>Registered spare/dynamic-only; not claimed visible</x:v>
      </x:c>
      <x:c r="D305" s="4" t="str">
        <x:v>art-source/ui/Assets_icons.png</x:v>
      </x:c>
      <x:c r="E305" s="4" t="str">
        <x:v>ui/icons/swords; crop [1181, 197, 1289, 306]; source pixels unchanged. No direct consumer found in source scan.</x:v>
      </x:c>
    </x:row>
    <x:row r="306" ht="48" customHeight="1">
      <x:c r="A306" s="4" t="str">
        <x:v>boss.png</x:v>
      </x:c>
      <x:c r="B306" s="4" t="str">
        <x:v>assets/ui/icons/boss.png</x:v>
      </x:c>
      <x:c r="C306" s="4" t="str">
        <x:v>UI frame/icon consumer: game/audio.js:93; game/ascension-ui.js:82; game/ascension-ui.js:86</x:v>
      </x:c>
      <x:c r="D306" s="4" t="str">
        <x:v>art-source/ui/Assets_icons.png</x:v>
      </x:c>
      <x:c r="E306" s="4" t="str">
        <x:v>ui/icons/boss; crop [1314, 187, 1416, 309]; source pixels unchanged. Full source lines in UI-ASSET-MAPPING.md.</x:v>
      </x:c>
    </x:row>
    <x:row r="307" ht="48" customHeight="1">
      <x:c r="A307" s="4" t="str">
        <x:v>compass.png</x:v>
      </x:c>
      <x:c r="B307" s="4" t="str">
        <x:v>assets/ui/icons/compass.png</x:v>
      </x:c>
      <x:c r="C307" s="4" t="str">
        <x:v>UI frame/icon consumer: game/atelier-ui.js:89</x:v>
      </x:c>
      <x:c r="D307" s="4" t="str">
        <x:v>art-source/ui/Assets_icons.png</x:v>
      </x:c>
      <x:c r="E307" s="4" t="str">
        <x:v>ui/icons/compass; crop [23, 333, 135, 450]; source pixels unchanged. Full source lines in UI-ASSET-MAPPING.md.</x:v>
      </x:c>
    </x:row>
    <x:row r="308" ht="48" customHeight="1">
      <x:c r="A308" s="4" t="str">
        <x:v>map.png</x:v>
      </x:c>
      <x:c r="B308" s="4" t="str">
        <x:v>assets/ui/icons/map.png</x:v>
      </x:c>
      <x:c r="C308" s="4" t="str">
        <x:v>UI frame/icon consumer: game/data.js:20</x:v>
      </x:c>
      <x:c r="D308" s="4" t="str">
        <x:v>art-source/ui/Assets_icons.png</x:v>
      </x:c>
      <x:c r="E308" s="4" t="str">
        <x:v>ui/icons/map; crop [146, 329, 264, 439]; source pixels unchanged. Full source lines in UI-ASSET-MAPPING.md.</x:v>
      </x:c>
    </x:row>
    <x:row r="309" ht="48" customHeight="1">
      <x:c r="A309" s="4" t="str">
        <x:v>gamepad.png</x:v>
      </x:c>
      <x:c r="B309" s="4" t="str">
        <x:v>assets/ui/icons/gamepad.png</x:v>
      </x:c>
      <x:c r="C309" s="4" t="str">
        <x:v>UI frame/icon consumer: game/app.js:106; game/app.js:131; game/app.js:282</x:v>
      </x:c>
      <x:c r="D309" s="4" t="str">
        <x:v>art-source/ui/Assets_icons.png</x:v>
      </x:c>
      <x:c r="E309" s="4" t="str">
        <x:v>ui/icons/gamepad; crop [280, 348, 380, 425]; source pixels unchanged. Full source lines in UI-ASSET-MAPPING.md.</x:v>
      </x:c>
    </x:row>
    <x:row r="310" ht="48" customHeight="1">
      <x:c r="A310" s="4" t="str">
        <x:v>controls.png</x:v>
      </x:c>
      <x:c r="B310" s="4" t="str">
        <x:v>assets/ui/icons/controls.png</x:v>
      </x:c>
      <x:c r="C310" s="4" t="str">
        <x:v>Registered spare/dynamic-only; not claimed visible</x:v>
      </x:c>
      <x:c r="D310" s="4" t="str">
        <x:v>art-source/ui/Assets_icons.png</x:v>
      </x:c>
      <x:c r="E310" s="4" t="str">
        <x:v>ui/icons/controls; crop [396, 347, 477, 428]; source pixels unchanged. No direct consumer found in source scan.</x:v>
      </x:c>
    </x:row>
    <x:row r="311" ht="48" customHeight="1">
      <x:c r="A311" s="4" t="str">
        <x:v>flag.png</x:v>
      </x:c>
      <x:c r="B311" s="4" t="str">
        <x:v>assets/ui/icons/flag.png</x:v>
      </x:c>
      <x:c r="C311" s="4" t="str">
        <x:v>UI frame/icon consumer: game/atelier-ui.js:89; game/data.js:14; game/data.js:30</x:v>
      </x:c>
      <x:c r="D311" s="4" t="str">
        <x:v>art-source/ui/Assets_icons.png</x:v>
      </x:c>
      <x:c r="E311" s="4" t="str">
        <x:v>ui/icons/flag; crop [594, 325, 702, 452]; source pixels unchanged. Full source lines in UI-ASSET-MAPPING.md.</x:v>
      </x:c>
    </x:row>
    <x:row r="312" ht="48" customHeight="1">
      <x:c r="A312" s="4" t="str">
        <x:v>skull.png</x:v>
      </x:c>
      <x:c r="B312" s="4" t="str">
        <x:v>assets/ui/icons/skull.png</x:v>
      </x:c>
      <x:c r="C312" s="4" t="str">
        <x:v>UI frame/icon consumer: game/app.js:156; game/app.js:282; game/data.js:16</x:v>
      </x:c>
      <x:c r="D312" s="4" t="str">
        <x:v>art-source/ui/Assets_icons.png</x:v>
      </x:c>
      <x:c r="E312" s="4" t="str">
        <x:v>ui/icons/skull; crop [932, 336, 1015, 427]; source pixels unchanged. Full source lines in UI-ASSET-MAPPING.md.</x:v>
      </x:c>
    </x:row>
    <x:row r="313" ht="48" customHeight="1">
      <x:c r="A313" s="4" t="str">
        <x:v>touch.png</x:v>
      </x:c>
      <x:c r="B313" s="4" t="str">
        <x:v>assets/ui/icons/touch.png</x:v>
      </x:c>
      <x:c r="C313" s="4" t="str">
        <x:v>UI frame/icon consumer: game/app.js:282</x:v>
      </x:c>
      <x:c r="D313" s="4" t="str">
        <x:v>art-source/ui/Assets_icons.png</x:v>
      </x:c>
      <x:c r="E313" s="4" t="str">
        <x:v>ui/icons/touch; crop [1039, 329, 1152, 447]; source pixels unchanged. Full source lines in UI-ASSET-MAPPING.md.</x:v>
      </x:c>
    </x:row>
    <x:row r="314" ht="48" customHeight="1">
      <x:c r="A314" s="4" t="str">
        <x:v>volume.png</x:v>
      </x:c>
      <x:c r="B314" s="4" t="str">
        <x:v>assets/ui/icons/volume.png</x:v>
      </x:c>
      <x:c r="C314" s="4" t="str">
        <x:v>UI frame/icon consumer: game/app.js:282</x:v>
      </x:c>
      <x:c r="D314" s="4" t="str">
        <x:v>art-source/ui/Assets_icons.png</x:v>
      </x:c>
      <x:c r="E314" s="4" t="str">
        <x:v>ui/icons/volume; crop [1183, 346, 1293, 435]; source pixels unchanged. Full source lines in UI-ASSET-MAPPING.md.</x:v>
      </x:c>
    </x:row>
    <x:row r="315" ht="48" customHeight="1">
      <x:c r="A315" s="4" t="str">
        <x:v>music.png</x:v>
      </x:c>
      <x:c r="B315" s="4" t="str">
        <x:v>assets/ui/icons/music.png</x:v>
      </x:c>
      <x:c r="C315" s="4" t="str">
        <x:v>UI frame/icon consumer: game/atelier-ui.js:70; game/content.js:2; game/app.js:282</x:v>
      </x:c>
      <x:c r="D315" s="4" t="str">
        <x:v>art-source/ui/Assets_icons.png</x:v>
      </x:c>
      <x:c r="E315" s="4" t="str">
        <x:v>ui/icons/music; crop [1326, 346, 1405, 437]; source pixels unchanged. Full source lines in UI-ASSET-MAPPING.md.</x:v>
      </x:c>
    </x:row>
    <x:row r="316" ht="48" customHeight="1">
      <x:c r="A316" s="4" t="str">
        <x:v>speed.png</x:v>
      </x:c>
      <x:c r="B316" s="4" t="str">
        <x:v>assets/ui/icons/speed.png</x:v>
      </x:c>
      <x:c r="C316" s="4" t="str">
        <x:v>UI frame/icon consumer: game/content.js:2; game/app.js:282; game/index.html:27</x:v>
      </x:c>
      <x:c r="D316" s="4" t="str">
        <x:v>art-source/ui/Assets_icons.png</x:v>
      </x:c>
      <x:c r="E316" s="4" t="str">
        <x:v>ui/icons/speed; crop [25, 475, 119, 570]; source pixels unchanged. Full source lines in UI-ASSET-MAPPING.md.</x:v>
      </x:c>
    </x:row>
    <x:row r="317" ht="48" customHeight="1">
      <x:c r="A317" s="4" t="str">
        <x:v>palette.png</x:v>
      </x:c>
      <x:c r="B317" s="4" t="str">
        <x:v>assets/ui/icons/palette.png</x:v>
      </x:c>
      <x:c r="C317" s="4" t="str">
        <x:v>UI frame/icon consumer: game/atelier-ui.js:33; game/app.js:282</x:v>
      </x:c>
      <x:c r="D317" s="4" t="str">
        <x:v>art-source/ui/Assets_icons.png</x:v>
      </x:c>
      <x:c r="E317" s="4" t="str">
        <x:v>ui/icons/palette; crop [147, 473, 255, 571]; source pixels unchanged. Full source lines in UI-ASSET-MAPPING.md.</x:v>
      </x:c>
    </x:row>
    <x:row r="318" ht="48" customHeight="1">
      <x:c r="A318" s="4" t="str">
        <x:v>power.png</x:v>
      </x:c>
      <x:c r="B318" s="4" t="str">
        <x:v>assets/ui/icons/power.png</x:v>
      </x:c>
      <x:c r="C318" s="4" t="str">
        <x:v>UI frame/icon consumer: game/audio.js:66; game/audio.js:71; game/combat-profiles.js:10</x:v>
      </x:c>
      <x:c r="D318" s="4" t="str">
        <x:v>art-source/ui/Assets_icons.png</x:v>
      </x:c>
      <x:c r="E318" s="4" t="str">
        <x:v>ui/icons/power; crop [281, 469, 362, 573]; source pixels unchanged. Full source lines in UI-ASSET-MAPPING.md.</x:v>
      </x:c>
    </x:row>
    <x:row r="319" ht="48" customHeight="1">
      <x:c r="A319" s="4" t="str">
        <x:v>sword.png</x:v>
      </x:c>
      <x:c r="B319" s="4" t="str">
        <x:v>assets/ui/icons/sword.png</x:v>
      </x:c>
      <x:c r="C319" s="4" t="str">
        <x:v>UI frame/icon consumer: game/atelier-ui.js:33; game/ascension-ui.js:14; game/ascension.js:16</x:v>
      </x:c>
      <x:c r="D319" s="4" t="str">
        <x:v>art-source/ui/Assets_icons.png</x:v>
      </x:c>
      <x:c r="E319" s="4" t="str">
        <x:v>ui/icons/sword; crop [388, 472, 479, 566]; source pixels unchanged. Full source lines in UI-ASSET-MAPPING.md.</x:v>
      </x:c>
    </x:row>
    <x:row r="320" ht="48" customHeight="1">
      <x:c r="A320" s="4" t="str">
        <x:v>gold-star.png</x:v>
      </x:c>
      <x:c r="B320" s="4" t="str">
        <x:v>assets/ui/icons/gold-star.png</x:v>
      </x:c>
      <x:c r="C320" s="4" t="str">
        <x:v>UI frame/icon consumer: game/content.js:2; game/app.js:102; game/app.js:108</x:v>
      </x:c>
      <x:c r="D320" s="4" t="str">
        <x:v>art-source/ui/Assets_icons.png</x:v>
      </x:c>
      <x:c r="E320" s="4" t="str">
        <x:v>ui/icons/gold-star; crop [504, 472, 593, 560]; source pixels unchanged. Full source lines in UI-ASSET-MAPPING.md.</x:v>
      </x:c>
    </x:row>
    <x:row r="321" ht="48" customHeight="1">
      <x:c r="A321" s="4" t="str">
        <x:v>magic.png</x:v>
      </x:c>
      <x:c r="B321" s="4" t="str">
        <x:v>assets/ui/icons/magic.png</x:v>
      </x:c>
      <x:c r="C321" s="4" t="str">
        <x:v>UI frame/icon consumer: game/ascension.js:17; game/content.js:2; game/app.js:225</x:v>
      </x:c>
      <x:c r="D321" s="4" t="str">
        <x:v>art-source/ui/Assets_icons.png</x:v>
      </x:c>
      <x:c r="E321" s="4" t="str">
        <x:v>ui/icons/magic; crop [612, 475, 700, 568]; source pixels unchanged. Full source lines in UI-ASSET-MAPPING.md.</x:v>
      </x:c>
    </x:row>
    <x:row r="322" ht="48" customHeight="1">
      <x:c r="A322" s="4" t="str">
        <x:v>stamina.png</x:v>
      </x:c>
      <x:c r="B322" s="4" t="str">
        <x:v>assets/ui/icons/stamina.png</x:v>
      </x:c>
      <x:c r="C322" s="4" t="str">
        <x:v>UI frame/icon consumer: game/content.js:2; game/app.js:218</x:v>
      </x:c>
      <x:c r="D322" s="4" t="str">
        <x:v>art-source/ui/Assets_icons.png</x:v>
      </x:c>
      <x:c r="E322" s="4" t="str">
        <x:v>ui/icons/stamina; crop [717, 469, 797, 567]; source pixels unchanged. Full source lines in UI-ASSET-MAPPING.md.</x:v>
      </x:c>
    </x:row>
    <x:row r="323" ht="48" customHeight="1">
      <x:c r="A323" s="4" t="str">
        <x:v>bow.png</x:v>
      </x:c>
      <x:c r="B323" s="4" t="str">
        <x:v>assets/ui/icons/bow.png</x:v>
      </x:c>
      <x:c r="C323" s="4" t="str">
        <x:v>UI frame/icon consumer: game/combat-profiles.js:11; game/weapon-art.js:15; game/weapon-art.js:67</x:v>
      </x:c>
      <x:c r="D323" s="4" t="str">
        <x:v>art-source/ui/Assets_icons.png</x:v>
      </x:c>
      <x:c r="E323" s="4" t="str">
        <x:v>ui/icons/bow; crop [821, 471, 917, 569]; source pixels unchanged. Full source lines in UI-ASSET-MAPPING.md.</x:v>
      </x:c>
    </x:row>
    <x:row r="324" ht="48" customHeight="1">
      <x:c r="A324" s="4" t="str">
        <x:v>sun.png</x:v>
      </x:c>
      <x:c r="B324" s="4" t="str">
        <x:v>assets/ui/icons/sun.png</x:v>
      </x:c>
      <x:c r="C324" s="4" t="str">
        <x:v>Registered spare/dynamic-only; not claimed visible</x:v>
      </x:c>
      <x:c r="D324" s="4" t="str">
        <x:v>art-source/ui/Assets_icons.png</x:v>
      </x:c>
      <x:c r="E324" s="4" t="str">
        <x:v>ui/icons/sun; crop [937, 468, 1037, 572]; source pixels unchanged. No direct consumer found in source scan.</x:v>
      </x:c>
    </x:row>
    <x:row r="325" ht="48" customHeight="1">
      <x:c r="A325" s="4" t="str">
        <x:v>frost.png</x:v>
      </x:c>
      <x:c r="B325" s="4" t="str">
        <x:v>assets/ui/icons/frost.png</x:v>
      </x:c>
      <x:c r="C325" s="4" t="str">
        <x:v>UI frame/icon consumer: game/ascension-ui.js:124; game/ascension.js:11; game/ascension.js:34</x:v>
      </x:c>
      <x:c r="D325" s="4" t="str">
        <x:v>art-source/ui/Assets_icons.png</x:v>
      </x:c>
      <x:c r="E325" s="4" t="str">
        <x:v>ui/icons/frost; crop [1063, 467, 1155, 572]; source pixels unchanged. Full source lines in UI-ASSET-MAPPING.md.</x:v>
      </x:c>
    </x:row>
    <x:row r="326" ht="48" customHeight="1">
      <x:c r="A326" s="4" t="str">
        <x:v>wind.png</x:v>
      </x:c>
      <x:c r="B326" s="4" t="str">
        <x:v>assets/ui/icons/wind.png</x:v>
      </x:c>
      <x:c r="C326" s="4" t="str">
        <x:v>UI frame/icon consumer: game/world-physics.js:22; game/world-physics.js:27; game/content.js:2</x:v>
      </x:c>
      <x:c r="D326" s="4" t="str">
        <x:v>art-source/ui/Assets_icons.png</x:v>
      </x:c>
      <x:c r="E326" s="4" t="str">
        <x:v>ui/icons/wind; crop [1300, 467, 1416, 568]; source pixels unchanged. Full source lines in UI-ASSET-MAPPING.md.</x:v>
      </x:c>
    </x:row>
    <x:row r="327" ht="48" customHeight="1">
      <x:c r="A327" s="4" t="str">
        <x:v>crown.png</x:v>
      </x:c>
      <x:c r="B327" s="4" t="str">
        <x:v>assets/ui/icons/crown.png</x:v>
      </x:c>
      <x:c r="C327" s="4" t="str">
        <x:v>UI frame/icon consumer: game/atelier-ui.js:64; game/content.js:2; game/app.js:226</x:v>
      </x:c>
      <x:c r="D327" s="4" t="str">
        <x:v>art-source/ui/Assets_icons.png</x:v>
      </x:c>
      <x:c r="E327" s="4" t="str">
        <x:v>ui/icons/crown; crop [31, 604, 134, 694]; source pixels unchanged. Full source lines in UI-ASSET-MAPPING.md.</x:v>
      </x:c>
    </x:row>
    <x:row r="328" ht="48" customHeight="1">
      <x:c r="A328" s="4" t="str">
        <x:v>earned-star.png</x:v>
      </x:c>
      <x:c r="B328" s="4" t="str">
        <x:v>assets/ui/icons/earned-star.png</x:v>
      </x:c>
      <x:c r="C328" s="4" t="str">
        <x:v>Registered spare/dynamic-only; not claimed visible</x:v>
      </x:c>
      <x:c r="D328" s="4" t="str">
        <x:v>art-source/ui/Assets_icons.png</x:v>
      </x:c>
      <x:c r="E328" s="4" t="str">
        <x:v>ui/icons/earned-star; crop [898, 607, 991, 698]; source pixels unchanged. No direct consumer found in source scan.</x:v>
      </x:c>
    </x:row>
    <x:row r="329" ht="48" customHeight="1">
      <x:c r="A329" s="4" t="str">
        <x:v>empty-star.png</x:v>
      </x:c>
      <x:c r="B329" s="4" t="str">
        <x:v>assets/ui/icons/empty-star.png</x:v>
      </x:c>
      <x:c r="C329" s="4" t="str">
        <x:v>Registered spare/dynamic-only; not claimed visible</x:v>
      </x:c>
      <x:c r="D329" s="4" t="str">
        <x:v>art-source/ui/Assets_icons.png</x:v>
      </x:c>
      <x:c r="E329" s="4" t="str">
        <x:v>ui/icons/empty-star; crop [1012, 609, 1104, 697]; source pixels unchanged. No direct consumer found in source scan.</x:v>
      </x:c>
    </x:row>
    <x:row r="330" ht="48" customHeight="1">
      <x:c r="A330" s="4" t="str">
        <x:v>medal-gold.png</x:v>
      </x:c>
      <x:c r="B330" s="4" t="str">
        <x:v>assets/ui/icons/medal-gold.png</x:v>
      </x:c>
      <x:c r="C330" s="4" t="str">
        <x:v>UI frame/icon consumer: game/atelier-ui.js:64</x:v>
      </x:c>
      <x:c r="D330" s="4" t="str">
        <x:v>art-source/ui/Assets_icons.png</x:v>
      </x:c>
      <x:c r="E330" s="4" t="str">
        <x:v>ui/icons/medal-gold; crop [26, 744, 136, 855]; source pixels unchanged. Full source lines in UI-ASSET-MAPPING.md.</x:v>
      </x:c>
    </x:row>
    <x:row r="331" ht="48" customHeight="1">
      <x:c r="A331" s="4" t="str">
        <x:v>medal-silver.png</x:v>
      </x:c>
      <x:c r="B331" s="4" t="str">
        <x:v>assets/ui/icons/medal-silver.png</x:v>
      </x:c>
      <x:c r="C331" s="4" t="str">
        <x:v>Registered spare/dynamic-only; not claimed visible</x:v>
      </x:c>
      <x:c r="D331" s="4" t="str">
        <x:v>art-source/ui/Assets_icons.png</x:v>
      </x:c>
      <x:c r="E331" s="4" t="str">
        <x:v>ui/icons/medal-silver; crop [143, 744, 254, 856]; source pixels unchanged. No direct consumer found in source scan.</x:v>
      </x:c>
    </x:row>
    <x:row r="332" ht="48" customHeight="1">
      <x:c r="A332" s="4" t="str">
        <x:v>medal-bronze.png</x:v>
      </x:c>
      <x:c r="B332" s="4" t="str">
        <x:v>assets/ui/icons/medal-bronze.png</x:v>
      </x:c>
      <x:c r="C332" s="4" t="str">
        <x:v>Registered spare/dynamic-only; not claimed visible</x:v>
      </x:c>
      <x:c r="D332" s="4" t="str">
        <x:v>art-source/ui/Assets_icons.png</x:v>
      </x:c>
      <x:c r="E332" s="4" t="str">
        <x:v>ui/icons/medal-bronze; crop [264, 744, 379, 856]; source pixels unchanged. No direct consumer found in source scan.</x:v>
      </x:c>
    </x:row>
    <x:row r="333" ht="48" customHeight="1">
      <x:c r="A333" s="4" t="str">
        <x:v>trophy.png</x:v>
      </x:c>
      <x:c r="B333" s="4" t="str">
        <x:v>assets/ui/icons/trophy.png</x:v>
      </x:c>
      <x:c r="C333" s="4" t="str">
        <x:v>UI frame/icon consumer: game/atelier-ui.js:64; game/upgrade-ui.js:9; game/app.js:148</x:v>
      </x:c>
      <x:c r="D333" s="4" t="str">
        <x:v>art-source/ui/Assets_icons.png</x:v>
      </x:c>
      <x:c r="E333" s="4" t="str">
        <x:v>ui/icons/trophy; crop [580, 756, 684, 862]; source pixels unchanged. Full source lines in UI-ASSET-MAPPING.md.</x:v>
      </x:c>
    </x:row>
    <x:row r="334" ht="48" customHeight="1">
      <x:c r="A334" s="4" t="str">
        <x:v>quest-coins.png</x:v>
      </x:c>
      <x:c r="B334" s="4" t="str">
        <x:v>assets/ui/icons/quest-coins.png</x:v>
      </x:c>
      <x:c r="C334" s="4" t="str">
        <x:v>UI frame/icon consumer: game/atelier-ui.js:89</x:v>
      </x:c>
      <x:c r="D334" s="4" t="str">
        <x:v>art-source/ui/Assets_icons.png</x:v>
      </x:c>
      <x:c r="E334" s="4" t="str">
        <x:v>ui/icons/quest-coins; crop [689, 738, 828, 875]; source pixels unchanged. Full source lines in UI-ASSET-MAPPING.md.</x:v>
      </x:c>
    </x:row>
    <x:row r="335" ht="48" customHeight="1">
      <x:c r="A335" s="4" t="str">
        <x:v>quest-power.png</x:v>
      </x:c>
      <x:c r="B335" s="4" t="str">
        <x:v>assets/ui/icons/quest-power.png</x:v>
      </x:c>
      <x:c r="C335" s="4" t="str">
        <x:v>UI frame/icon consumer: game/atelier-ui.js:89</x:v>
      </x:c>
      <x:c r="D335" s="4" t="str">
        <x:v>art-source/ui/Assets_icons.png</x:v>
      </x:c>
      <x:c r="E335" s="4" t="str">
        <x:v>ui/icons/quest-power; crop [834, 739, 973, 877]; source pixels unchanged. Full source lines in UI-ASSET-MAPPING.md.</x:v>
      </x:c>
    </x:row>
    <x:row r="336" ht="48" customHeight="1">
      <x:c r="A336" s="4" t="str">
        <x:v>quest-potion.png</x:v>
      </x:c>
      <x:c r="B336" s="4" t="str">
        <x:v>assets/ui/icons/quest-potion.png</x:v>
      </x:c>
      <x:c r="C336" s="4" t="str">
        <x:v>UI frame/icon consumer: game/atelier-ui.js:89</x:v>
      </x:c>
      <x:c r="D336" s="4" t="str">
        <x:v>art-source/ui/Assets_icons.png</x:v>
      </x:c>
      <x:c r="E336" s="4" t="str">
        <x:v>ui/icons/quest-potion; crop [1010, 739, 1096, 877]; source pixels unchanged. Full source lines in UI-ASSET-MAPPING.md.</x:v>
      </x:c>
    </x:row>
    <x:row r="337" ht="48" customHeight="1">
      <x:c r="A337" s="4" t="str">
        <x:v>quest-shrine.png</x:v>
      </x:c>
      <x:c r="B337" s="4" t="str">
        <x:v>assets/ui/icons/quest-shrine.png</x:v>
      </x:c>
      <x:c r="C337" s="4" t="str">
        <x:v>UI frame/icon consumer: game/atelier-ui.js:89</x:v>
      </x:c>
      <x:c r="D337" s="4" t="str">
        <x:v>art-source/ui/Assets_icons.png</x:v>
      </x:c>
      <x:c r="E337" s="4" t="str">
        <x:v>ui/icons/quest-shrine; crop [1124, 729, 1253, 881]; source pixels unchanged. Full source lines in UI-ASSET-MAPPING.md.</x:v>
      </x:c>
    </x:row>
    <x:row r="338" ht="48" customHeight="1">
      <x:c r="A338" s="4" t="str">
        <x:v>quest-monster.png</x:v>
      </x:c>
      <x:c r="B338" s="4" t="str">
        <x:v>assets/ui/icons/quest-monster.png</x:v>
      </x:c>
      <x:c r="C338" s="4" t="str">
        <x:v>UI frame/icon consumer: game/atelier-ui.js:89</x:v>
      </x:c>
      <x:c r="D338" s="4" t="str">
        <x:v>art-source/ui/Assets_icons.png</x:v>
      </x:c>
      <x:c r="E338" s="4" t="str">
        <x:v>ui/icons/quest-monster; crop [1267, 739, 1409, 878]; source pixels unchanged. Full source lines in UI-ASSET-MAPPING.md.</x:v>
      </x:c>
    </x:row>
    <x:row r="339" ht="48" customHeight="1">
      <x:c r="A339" s="4" t="str">
        <x:v>left.png</x:v>
      </x:c>
      <x:c r="B339" s="4" t="str">
        <x:v>assets/ui/icons/left.png</x:v>
      </x:c>
      <x:c r="C339" s="4" t="str">
        <x:v>UI frame/icon consumer: game/arena.js:5; game/app.js:394; game/app.js:401</x:v>
      </x:c>
      <x:c r="D339" s="4" t="str">
        <x:v>art-source/ui/Assets_icons.png</x:v>
      </x:c>
      <x:c r="E339" s="4" t="str">
        <x:v>ui/icons/left; crop [36, 921, 100, 1015]; source pixels unchanged. Full source lines in UI-ASSET-MAPPING.md.</x:v>
      </x:c>
    </x:row>
    <x:row r="340" ht="48" customHeight="1">
      <x:c r="A340" s="4" t="str">
        <x:v>right.png</x:v>
      </x:c>
      <x:c r="B340" s="4" t="str">
        <x:v>assets/ui/icons/right.png</x:v>
      </x:c>
      <x:c r="C340" s="4" t="str">
        <x:v>UI frame/icon consumer: game/arena.js:5; game/app.js:263; game/app.js:394</x:v>
      </x:c>
      <x:c r="D340" s="4" t="str">
        <x:v>art-source/ui/Assets_icons.png</x:v>
      </x:c>
      <x:c r="E340" s="4" t="str">
        <x:v>ui/icons/right; crop [139, 921, 203, 1015]; source pixels unchanged. Full source lines in UI-ASSET-MAPPING.md.</x:v>
      </x:c>
    </x:row>
    <x:row r="341" ht="48" customHeight="1">
      <x:c r="A341" s="4" t="str">
        <x:v>crouch.png</x:v>
      </x:c>
      <x:c r="B341" s="4" t="str">
        <x:v>assets/ui/icons/crouch.png</x:v>
      </x:c>
      <x:c r="C341" s="4" t="str">
        <x:v>UI frame/icon consumer: game/controls.js:20; game/app.js:394; game/app.js:401</x:v>
      </x:c>
      <x:c r="D341" s="4" t="str">
        <x:v>art-source/ui/Assets_icons.png</x:v>
      </x:c>
      <x:c r="E341" s="4" t="str">
        <x:v>ui/icons/crouch; crop [225, 948, 304, 1003]; source pixels unchanged. Full source lines in UI-ASSET-MAPPING.md.</x:v>
      </x:c>
    </x:row>
    <x:row r="342" ht="48" customHeight="1">
      <x:c r="A342" s="4" t="str">
        <x:v>diamond.png</x:v>
      </x:c>
      <x:c r="B342" s="4" t="str">
        <x:v>assets/ui/icons/diamond.png</x:v>
      </x:c>
      <x:c r="C342" s="4" t="str">
        <x:v>Registered spare/dynamic-only; not claimed visible</x:v>
      </x:c>
      <x:c r="D342" s="4" t="str">
        <x:v>art-source/ui/Assets_icons.png</x:v>
      </x:c>
      <x:c r="E342" s="4" t="str">
        <x:v>ui/icons/diamond; crop [331, 927, 416, 1012]; source pixels unchanged. No direct consumer found in source scan.</x:v>
      </x:c>
    </x:row>
    <x:row r="343" ht="48" customHeight="1">
      <x:c r="A343" s="4" t="str">
        <x:v>currency.png</x:v>
      </x:c>
      <x:c r="B343" s="4" t="str">
        <x:v>assets/ui/frames/currency.png</x:v>
      </x:c>
      <x:c r="C343" s="4" t="str">
        <x:v>UI frame/icon consumer: game/atelier.css:30</x:v>
      </x:c>
      <x:c r="D343" s="4" t="str">
        <x:v>art-source/ui/Assets_placeholders.png</x:v>
      </x:c>
      <x:c r="E343" s="4" t="str">
        <x:v>ui/frames/currency; crop [1173, 29, 1419, 102]; source pixels unchanged. Full source lines in UI-ASSET-MAPPING.md.</x:v>
      </x:c>
    </x:row>
    <x:row r="344" ht="48" customHeight="1">
      <x:c r="A344" s="4" t="str">
        <x:v>tab.png</x:v>
      </x:c>
      <x:c r="B344" s="4" t="str">
        <x:v>assets/ui/frames/tab.png</x:v>
      </x:c>
      <x:c r="C344" s="4" t="str">
        <x:v>UI frame/icon consumer: game/atelier.css:22; game/atelier.css:33; game/atelier.css:34</x:v>
      </x:c>
      <x:c r="D344" s="4" t="str">
        <x:v>art-source/ui/Assets_placeholders.png</x:v>
      </x:c>
      <x:c r="E344" s="4" t="str">
        <x:v>ui/frames/tab; crop [748, 131, 885, 204]; source pixels unchanged. Full source lines in UI-ASSET-MAPPING.md.</x:v>
      </x:c>
    </x:row>
    <x:row r="345" ht="48" customHeight="1">
      <x:c r="A345" s="4" t="str">
        <x:v>tab-selected.png</x:v>
      </x:c>
      <x:c r="B345" s="4" t="str">
        <x:v>assets/ui/frames/tab-selected.png</x:v>
      </x:c>
      <x:c r="C345" s="4" t="str">
        <x:v>UI frame/icon consumer: game/atelier.css:22; game/atelier.css:34; game/atelier.css:70</x:v>
      </x:c>
      <x:c r="D345" s="4" t="str">
        <x:v>art-source/ui/Assets_placeholders.png</x:v>
      </x:c>
      <x:c r="E345" s="4" t="str">
        <x:v>ui/frames/tab-selected; crop [607, 132, 745, 204]; source pixels unchanged. Full source lines in UI-ASSET-MAPPING.md.</x:v>
      </x:c>
    </x:row>
    <x:row r="346" ht="48" customHeight="1">
      <x:c r="A346" s="4" t="str">
        <x:v>button.png</x:v>
      </x:c>
      <x:c r="B346" s="4" t="str">
        <x:v>assets/ui/frames/button.png</x:v>
      </x:c>
      <x:c r="C346" s="4" t="str">
        <x:v>UI frame/icon consumer: game/atelier.css:17; game/atelier.css:18; game/atelier.css:42</x:v>
      </x:c>
      <x:c r="D346" s="4" t="str">
        <x:v>art-source/ui/Assets_placeholders.png</x:v>
      </x:c>
      <x:c r="E346" s="4" t="str">
        <x:v>ui/frames/button; crop [859, 226, 1041, 292]; source pixels unchanged. Full source lines in UI-ASSET-MAPPING.md.</x:v>
      </x:c>
    </x:row>
    <x:row r="347" ht="48" customHeight="1">
      <x:c r="A347" s="4" t="str">
        <x:v>button-gold.png</x:v>
      </x:c>
      <x:c r="B347" s="4" t="str">
        <x:v>assets/ui/frames/button-gold.png</x:v>
      </x:c>
      <x:c r="C347" s="4" t="str">
        <x:v>UI frame/icon consumer: game/atelier.css:60</x:v>
      </x:c>
      <x:c r="D347" s="4" t="str">
        <x:v>art-source/ui/Assets_placeholders.png</x:v>
      </x:c>
      <x:c r="E347" s="4" t="str">
        <x:v>ui/frames/button-gold; crop [1082, 227, 1282, 295]; source pixels unchanged. Full source lines in UI-ASSET-MAPPING.md.</x:v>
      </x:c>
    </x:row>
    <x:row r="348" ht="48" customHeight="1">
      <x:c r="A348" s="4" t="str">
        <x:v>hero-card.png</x:v>
      </x:c>
      <x:c r="B348" s="4" t="str">
        <x:v>assets/ui/frames/hero-card.png</x:v>
      </x:c>
      <x:c r="C348" s="4" t="str">
        <x:v>UI frame/icon consumer: game/atelier.css:50; game/atelier.css:57; game/atelier.css:58</x:v>
      </x:c>
      <x:c r="D348" s="4" t="str">
        <x:v>art-source/ui/Assets_placeholders.png</x:v>
      </x:c>
      <x:c r="E348" s="4" t="str">
        <x:v>ui/frames/hero-card; crop [27, 308, 175, 523]; source pixels unchanged. Full source lines in UI-ASSET-MAPPING.md.</x:v>
      </x:c>
    </x:row>
    <x:row r="349" ht="48" customHeight="1">
      <x:c r="A349" s="4" t="str">
        <x:v>hero-selected.png</x:v>
      </x:c>
      <x:c r="B349" s="4" t="str">
        <x:v>assets/ui/frames/hero-selected.png</x:v>
      </x:c>
      <x:c r="C349" s="4" t="str">
        <x:v>UI frame/icon consumer: game/atelier.css:51; game/atelier.css:86; game/atelier.css:104</x:v>
      </x:c>
      <x:c r="D349" s="4" t="str">
        <x:v>art-source/ui/Assets_placeholders.png</x:v>
      </x:c>
      <x:c r="E349" s="4" t="str">
        <x:v>ui/frames/hero-selected; crop [186, 308, 332, 522]; source pixels unchanged. Full source lines in UI-ASSET-MAPPING.md.</x:v>
      </x:c>
    </x:row>
    <x:row r="350" ht="48" customHeight="1">
      <x:c r="A350" s="4" t="str">
        <x:v>hero-locked.png</x:v>
      </x:c>
      <x:c r="B350" s="4" t="str">
        <x:v>assets/ui/frames/hero-locked.png</x:v>
      </x:c>
      <x:c r="C350" s="4" t="str">
        <x:v>Registered spare/dynamic-only; not claimed visible</x:v>
      </x:c>
      <x:c r="D350" s="4" t="str">
        <x:v>art-source/ui/Assets_placeholders.png</x:v>
      </x:c>
      <x:c r="E350" s="4" t="str">
        <x:v>ui/frames/hero-locked; crop [344, 309, 491, 522]; source pixels unchanged. No direct consumer found in source scan.</x:v>
      </x:c>
    </x:row>
    <x:row r="351" ht="48" customHeight="1">
      <x:c r="A351" s="4" t="str">
        <x:v>hero-purple.png</x:v>
      </x:c>
      <x:c r="B351" s="4" t="str">
        <x:v>assets/ui/frames/hero-purple.png</x:v>
      </x:c>
      <x:c r="C351" s="4" t="str">
        <x:v>Registered spare/dynamic-only; not claimed visible</x:v>
      </x:c>
      <x:c r="D351" s="4" t="str">
        <x:v>art-source/ui/Assets_placeholders.png</x:v>
      </x:c>
      <x:c r="E351" s="4" t="str">
        <x:v>ui/frames/hero-purple; crop [658, 309, 795, 523]; source pixels unchanged. No direct consumer found in source scan.</x:v>
      </x:c>
    </x:row>
    <x:row r="352" ht="48" customHeight="1">
      <x:c r="A352" s="4" t="str">
        <x:v>quest.png</x:v>
      </x:c>
      <x:c r="B352" s="4" t="str">
        <x:v>assets/ui/frames/quest.png</x:v>
      </x:c>
      <x:c r="C352" s="4" t="str">
        <x:v>UI frame/icon consumer: game/atelier.css:60; game/atelier.css:64</x:v>
      </x:c>
      <x:c r="D352" s="4" t="str">
        <x:v>art-source/ui/Assets_placeholders.png</x:v>
      </x:c>
      <x:c r="E352" s="4" t="str">
        <x:v>ui/frames/quest; crop [491, 544, 710, 650]; source pixels unchanged. Full source lines in UI-ASSET-MAPPING.md.</x:v>
      </x:c>
    </x:row>
    <x:row r="353" ht="48" customHeight="1">
      <x:c r="A353" s="4" t="str">
        <x:v>price.png</x:v>
      </x:c>
      <x:c r="B353" s="4" t="str">
        <x:v>assets/ui/frames/price.png</x:v>
      </x:c>
      <x:c r="C353" s="4" t="str">
        <x:v>UI frame/icon consumer: game/atelier.css:42</x:v>
      </x:c>
      <x:c r="D353" s="4" t="str">
        <x:v>art-source/ui/Assets_placeholders.png</x:v>
      </x:c>
      <x:c r="E353" s="4" t="str">
        <x:v>ui/frames/price; crop [794, 663, 932, 721]; source pixels unchanged. Full source lines in UI-ASSET-MAPPING.md.</x:v>
      </x:c>
    </x:row>
    <x:row r="354" ht="48" customHeight="1">
      <x:c r="A354" s="4" t="str">
        <x:v>nav.png</x:v>
      </x:c>
      <x:c r="B354" s="4" t="str">
        <x:v>assets/ui/frames/nav.png</x:v>
      </x:c>
      <x:c r="C354" s="4" t="str">
        <x:v>UI frame/icon consumer: game/atelier.css:32</x:v>
      </x:c>
      <x:c r="D354" s="4" t="str">
        <x:v>art-source/ui/Assets_placeholders.png</x:v>
      </x:c>
      <x:c r="E354" s="4" t="str">
        <x:v>ui/frames/nav; crop [27, 739, 682, 791]; source pixels unchanged. Full source lines in UI-ASSET-MAPPING.md.</x:v>
      </x:c>
    </x:row>
    <x:row r="355" ht="48" customHeight="1">
      <x:c r="A355" s="4" t="str">
        <x:v>setting-row.png</x:v>
      </x:c>
      <x:c r="B355" s="4" t="str">
        <x:v>assets/ui/frames/setting-row.png</x:v>
      </x:c>
      <x:c r="C355" s="4" t="str">
        <x:v>UI frame/icon consumer: game/atelier.css:68</x:v>
      </x:c>
      <x:c r="D355" s="4" t="str">
        <x:v>art-source/ui/Assets_placeholders.png</x:v>
      </x:c>
      <x:c r="E355" s="4" t="str">
        <x:v>ui/frames/setting-row; crop [28, 800, 373, 870]; source pixels unchanged. Full source lines in UI-ASSET-MAPPING.md.</x:v>
      </x:c>
    </x:row>
    <x:row r="356" ht="48" customHeight="1">
      <x:c r="A356" s="4" t="str">
        <x:v>button-large.png</x:v>
      </x:c>
      <x:c r="B356" s="4" t="str">
        <x:v>assets/ui/frames/button-large.png</x:v>
      </x:c>
      <x:c r="C356" s="4" t="str">
        <x:v>UI frame/icon consumer: game/atelier.css:18; game/atelier.css:45</x:v>
      </x:c>
      <x:c r="D356" s="4" t="str">
        <x:v>art-source/ui/Assets_placeholders.png</x:v>
      </x:c>
      <x:c r="E356" s="4" t="str">
        <x:v>ui/frames/button-large; crop [712, 886, 1029, 964]; source pixels unchanged. Full source lines in UI-ASSET-MAPPING.md.</x:v>
      </x:c>
    </x:row>
    <x:row r="357" ht="48" customHeight="1">
      <x:c r="A357" s="4" t="str">
        <x:v>toggle-on.png</x:v>
      </x:c>
      <x:c r="B357" s="4" t="str">
        <x:v>assets/ui/frames/toggle-on.png</x:v>
      </x:c>
      <x:c r="C357" s="4" t="str">
        <x:v>UI frame/icon consumer: game/atelier.css:68</x:v>
      </x:c>
      <x:c r="D357" s="4" t="str">
        <x:v>art-source/ui/Assets_placeholders.png</x:v>
      </x:c>
      <x:c r="E357" s="4" t="str">
        <x:v>ui/frames/toggle-on; crop [1182, 883, 1285, 938]; source pixels unchanged. Full source lines in UI-ASSET-MAPPING.md.</x:v>
      </x:c>
    </x:row>
    <x:row r="358" ht="48" customHeight="1">
      <x:c r="A358" s="4" t="str">
        <x:v>toggle-off.png</x:v>
      </x:c>
      <x:c r="B358" s="4" t="str">
        <x:v>assets/ui/frames/toggle-off.png</x:v>
      </x:c>
      <x:c r="C358" s="4" t="str">
        <x:v>UI frame/icon consumer: game/atelier.css:68</x:v>
      </x:c>
      <x:c r="D358" s="4" t="str">
        <x:v>art-source/ui/Assets_placeholders.png</x:v>
      </x:c>
      <x:c r="E358" s="4" t="str">
        <x:v>ui/frames/toggle-off; crop [1312, 883, 1416, 938]; source pixels unchanged. Full source lines in UI-ASSET-MAPPING.md.</x:v>
      </x:c>
    </x:row>
    <x:row r="359" ht="48" customHeight="1">
      <x:c r="A359" s="4" t="str">
        <x:v>progress-empty.png</x:v>
      </x:c>
      <x:c r="B359" s="4" t="str">
        <x:v>assets/ui/frames/progress-empty.png</x:v>
      </x:c>
      <x:c r="C359" s="4" t="str">
        <x:v>Registered spare/dynamic-only; not claimed visible</x:v>
      </x:c>
      <x:c r="D359" s="4" t="str">
        <x:v>art-source/ui/Assets_placeholders.png</x:v>
      </x:c>
      <x:c r="E359" s="4" t="str">
        <x:v>ui/frames/progress-empty; crop [28, 981, 324, 1013]; source pixels unchanged. No direct consumer found in source scan.</x:v>
      </x:c>
    </x:row>
    <x:row r="360" ht="48" customHeight="1">
      <x:c r="A360" s="4" t="str">
        <x:v>progress-full.png</x:v>
      </x:c>
      <x:c r="B360" s="4" t="str">
        <x:v>assets/ui/frames/progress-full.png</x:v>
      </x:c>
      <x:c r="C360" s="4" t="str">
        <x:v>Registered spare/dynamic-only; not claimed visible</x:v>
      </x:c>
      <x:c r="D360" s="4" t="str">
        <x:v>art-source/ui/Assets_placeholders.png</x:v>
      </x:c>
      <x:c r="E360" s="4" t="str">
        <x:v>ui/frames/progress-full; crop [341, 982, 561, 1012]; source pixels unchanged. No direct consumer found in source scan.</x:v>
      </x:c>
    </x:row>
    <x:row r="361" ht="48" customHeight="1">
      <x:c r="A361" s="4" t="str">
        <x:v>panel.png</x:v>
      </x:c>
      <x:c r="B361" s="4" t="str">
        <x:v>assets/ui/frames/panel.png</x:v>
      </x:c>
      <x:c r="C361" s="4" t="str">
        <x:v>UI frame/icon consumer: game/atelier.css:14; game/atelier.css:44</x:v>
      </x:c>
      <x:c r="D361" s="4" t="str">
        <x:v>art-source/ui/Assets_placeholders_2.png</x:v>
      </x:c>
      <x:c r="E361" s="4" t="str">
        <x:v>ui/frames/panel; crop [370, 402, 810, 629]; source pixels unchanged. Full source lines in UI-ASSET-MAPPING.md.</x:v>
      </x:c>
    </x:row>
    <x:row r="362" ht="48" customHeight="1">
      <x:c r="A362" s="4" t="str">
        <x:v>profile.png</x:v>
      </x:c>
      <x:c r="B362" s="4" t="str">
        <x:v>assets/ui/frames/profile.png</x:v>
      </x:c>
      <x:c r="C362" s="4" t="str">
        <x:v>Registered spare/dynamic-only; not claimed visible</x:v>
      </x:c>
      <x:c r="D362" s="4" t="str">
        <x:v>art-source/ui/Assets_placeholders_2.png</x:v>
      </x:c>
      <x:c r="E362" s="4" t="str">
        <x:v>ui/frames/profile; crop [27, 647, 476, 882]; source pixels unchanged. No direct consumer found in source scan.</x:v>
      </x:c>
    </x:row>
    <x:row r="363" ht="48" customHeight="1">
      <x:c r="A363" s="4" t="str">
        <x:v>identity.png</x:v>
      </x:c>
      <x:c r="B363" s="4" t="str">
        <x:v>assets/ui/frames/identity.png</x:v>
      </x:c>
      <x:c r="C363" s="4" t="str">
        <x:v>UI frame/icon consumer: game/atelier.css:26; game/atelier.css:43; game/atelier.css:101</x:v>
      </x:c>
      <x:c r="D363" s="4" t="str">
        <x:v>art-source/ui/Assets_placeholders_2.png</x:v>
      </x:c>
      <x:c r="E363" s="4" t="str">
        <x:v>ui/frames/identity; crop [823, 421, 1179, 528]; source pixels unchanged. Full source lines in UI-ASSET-MAPPING.md.</x:v>
      </x:c>
    </x:row>
    <x:row r="364" ht="48" customHeight="1">
      <x:c r="A364" s="4" t="str">
        <x:v>portrait.png</x:v>
      </x:c>
      <x:c r="B364" s="4" t="str">
        <x:v>assets/ui/frames/portrait.png</x:v>
      </x:c>
      <x:c r="C364" s="4" t="str">
        <x:v>UI frame/icon consumer: game/atelier.css:27</x:v>
      </x:c>
      <x:c r="D364" s="4" t="str">
        <x:v>art-source/ui/Assets_placeholders_2.png</x:v>
      </x:c>
      <x:c r="E364" s="4" t="str">
        <x:v>ui/frames/portrait; crop [84, 129, 247, 336]; source pixels unchanged. Full source lines in UI-ASSET-MAPPING.md.</x:v>
      </x:c>
    </x:row>
    <x:row r="365" ht="48" customHeight="1">
      <x:c r="A365" s="4" t="str">
        <x:v>portrait-selected.png</x:v>
      </x:c>
      <x:c r="B365" s="4" t="str">
        <x:v>assets/ui/frames/portrait-selected.png</x:v>
      </x:c>
      <x:c r="C365" s="4" t="str">
        <x:v>Registered spare/dynamic-only; not claimed visible</x:v>
      </x:c>
      <x:c r="D365" s="4" t="str">
        <x:v>art-source/ui/Assets_placeholders_2.png</x:v>
      </x:c>
      <x:c r="E365" s="4" t="str">
        <x:v>ui/frames/portrait-selected; crop [270, 123, 452, 342]; source pixels unchanged. No direct consumer found in source scan.</x:v>
      </x:c>
    </x:row>
    <x:row r="366" ht="48" customHeight="1">
      <x:c r="A366" s="4" t="str">
        <x:v>input.png</x:v>
      </x:c>
      <x:c r="B366" s="4" t="str">
        <x:v>assets/ui/frames/input.png</x:v>
      </x:c>
      <x:c r="C366" s="4" t="str">
        <x:v>Registered spare/dynamic-only; not claimed visible</x:v>
      </x:c>
      <x:c r="D366" s="4" t="str">
        <x:v>art-source/ui/Assets_placeholders_2.png</x:v>
      </x:c>
      <x:c r="E366" s="4" t="str">
        <x:v>ui/frames/input; crop [36, 887, 380, 955]; source pixels unchanged. No direct consumer found in source scan.</x:v>
      </x:c>
    </x:row>
    <x:row r="367" ht="48" customHeight="1">
      <x:c r="A367" s="4" t="str">
        <x:v>click.ogg</x:v>
      </x:c>
      <x:c r="B367" s="4" t="str">
        <x:v>assets/audio/sfx/click.ogg</x:v>
      </x:c>
      <x:c r="C367" s="4" t="str">
        <x:v>Existing sound playback; game/audio.js / engine sound events</x:v>
      </x:c>
      <x:c r="D367" s="4" t="str">
        <x:v>Super-Wiss-1.3.1-Source-Candidate.zip</x:v>
      </x:c>
      <x:c r="E367" s="4" t="str">
        <x:v>sfx/click; unchanged original asset bytes.</x:v>
      </x:c>
    </x:row>
    <x:row r="368" ht="48" customHeight="1">
      <x:c r="A368" s="4" t="str">
        <x:v>jump.ogg</x:v>
      </x:c>
      <x:c r="B368" s="4" t="str">
        <x:v>assets/audio/sfx/jump.ogg</x:v>
      </x:c>
      <x:c r="C368" s="4" t="str">
        <x:v>Existing sound playback; game/audio.js / engine sound events</x:v>
      </x:c>
      <x:c r="D368" s="4" t="str">
        <x:v>Super-Wiss-1.3.1-Source-Candidate.zip</x:v>
      </x:c>
      <x:c r="E368" s="4" t="str">
        <x:v>sfx/jump; unchanged original asset bytes.</x:v>
      </x:c>
    </x:row>
    <x:row r="369" ht="48" customHeight="1">
      <x:c r="A369" s="4" t="str">
        <x:v>coin.ogg</x:v>
      </x:c>
      <x:c r="B369" s="4" t="str">
        <x:v>assets/audio/sfx/coin.ogg</x:v>
      </x:c>
      <x:c r="C369" s="4" t="str">
        <x:v>Existing sound playback; game/audio.js / engine sound events</x:v>
      </x:c>
      <x:c r="D369" s="4" t="str">
        <x:v>Super-Wiss-1.3.1-Source-Candidate.zip</x:v>
      </x:c>
      <x:c r="E369" s="4" t="str">
        <x:v>sfx/coin; unchanged original asset bytes.</x:v>
      </x:c>
    </x:row>
    <x:row r="370" ht="48" customHeight="1">
      <x:c r="A370" s="4" t="str">
        <x:v>stomp.ogg</x:v>
      </x:c>
      <x:c r="B370" s="4" t="str">
        <x:v>assets/audio/sfx/stomp.ogg</x:v>
      </x:c>
      <x:c r="C370" s="4" t="str">
        <x:v>Existing sound playback; game/audio.js / engine sound events</x:v>
      </x:c>
      <x:c r="D370" s="4" t="str">
        <x:v>Super-Wiss-1.3.1-Source-Candidate.zip</x:v>
      </x:c>
      <x:c r="E370" s="4" t="str">
        <x:v>sfx/stomp; unchanged original asset bytes.</x:v>
      </x:c>
    </x:row>
    <x:row r="371" ht="48" customHeight="1">
      <x:c r="A371" s="4" t="str">
        <x:v>armor.ogg</x:v>
      </x:c>
      <x:c r="B371" s="4" t="str">
        <x:v>assets/audio/sfx/armor.ogg</x:v>
      </x:c>
      <x:c r="C371" s="4" t="str">
        <x:v>Existing sound playback; game/audio.js / engine sound events</x:v>
      </x:c>
      <x:c r="D371" s="4" t="str">
        <x:v>Super-Wiss-1.3.1-Source-Candidate.zip</x:v>
      </x:c>
      <x:c r="E371" s="4" t="str">
        <x:v>sfx/armor; unchanged original asset bytes.</x:v>
      </x:c>
    </x:row>
    <x:row r="372" ht="48" customHeight="1">
      <x:c r="A372" s="4" t="str">
        <x:v>break.ogg</x:v>
      </x:c>
      <x:c r="B372" s="4" t="str">
        <x:v>assets/audio/sfx/break.ogg</x:v>
      </x:c>
      <x:c r="C372" s="4" t="str">
        <x:v>Existing sound playback; game/audio.js / engine sound events</x:v>
      </x:c>
      <x:c r="D372" s="4" t="str">
        <x:v>Super-Wiss-1.3.1-Source-Candidate.zip</x:v>
      </x:c>
      <x:c r="E372" s="4" t="str">
        <x:v>sfx/break; unchanged original asset bytes.</x:v>
      </x:c>
    </x:row>
    <x:row r="373" ht="48" customHeight="1">
      <x:c r="A373" s="4" t="str">
        <x:v>block.ogg</x:v>
      </x:c>
      <x:c r="B373" s="4" t="str">
        <x:v>assets/audio/sfx/block.ogg</x:v>
      </x:c>
      <x:c r="C373" s="4" t="str">
        <x:v>Existing sound playback; game/audio.js / engine sound events</x:v>
      </x:c>
      <x:c r="D373" s="4" t="str">
        <x:v>Super-Wiss-1.3.1-Source-Candidate.zip</x:v>
      </x:c>
      <x:c r="E373" s="4" t="str">
        <x:v>sfx/block; unchanged original asset bytes.</x:v>
      </x:c>
    </x:row>
    <x:row r="374" ht="48" customHeight="1">
      <x:c r="A374" s="4" t="str">
        <x:v>hurt.ogg</x:v>
      </x:c>
      <x:c r="B374" s="4" t="str">
        <x:v>assets/audio/sfx/hurt.ogg</x:v>
      </x:c>
      <x:c r="C374" s="4" t="str">
        <x:v>Existing sound playback; game/audio.js / engine sound events</x:v>
      </x:c>
      <x:c r="D374" s="4" t="str">
        <x:v>Super-Wiss-1.3.1-Source-Candidate.zip</x:v>
      </x:c>
      <x:c r="E374" s="4" t="str">
        <x:v>sfx/hurt; unchanged original asset bytes.</x:v>
      </x:c>
    </x:row>
    <x:row r="375" ht="48" customHeight="1">
      <x:c r="A375" s="4" t="str">
        <x:v>knockout.ogg</x:v>
      </x:c>
      <x:c r="B375" s="4" t="str">
        <x:v>assets/audio/sfx/knockout.ogg</x:v>
      </x:c>
      <x:c r="C375" s="4" t="str">
        <x:v>Existing sound playback; game/audio.js / engine sound events</x:v>
      </x:c>
      <x:c r="D375" s="4" t="str">
        <x:v>Super-Wiss-1.3.1-Source-Candidate.zip</x:v>
      </x:c>
      <x:c r="E375" s="4" t="str">
        <x:v>sfx/knockout; unchanged original asset bytes.</x:v>
      </x:c>
    </x:row>
    <x:row r="376" ht="48" customHeight="1">
      <x:c r="A376" s="4" t="str">
        <x:v>shield.ogg</x:v>
      </x:c>
      <x:c r="B376" s="4" t="str">
        <x:v>assets/audio/sfx/shield.ogg</x:v>
      </x:c>
      <x:c r="C376" s="4" t="str">
        <x:v>Existing sound playback; game/audio.js / engine sound events</x:v>
      </x:c>
      <x:c r="D376" s="4" t="str">
        <x:v>Super-Wiss-1.3.1-Source-Candidate.zip</x:v>
      </x:c>
      <x:c r="E376" s="4" t="str">
        <x:v>sfx/shield; unchanged original asset bytes.</x:v>
      </x:c>
    </x:row>
    <x:row r="377" ht="48" customHeight="1">
      <x:c r="A377" s="4" t="str">
        <x:v>gravity.ogg</x:v>
      </x:c>
      <x:c r="B377" s="4" t="str">
        <x:v>assets/audio/sfx/gravity.ogg</x:v>
      </x:c>
      <x:c r="C377" s="4" t="str">
        <x:v>Existing sound playback; game/audio.js / engine sound events</x:v>
      </x:c>
      <x:c r="D377" s="4" t="str">
        <x:v>Super-Wiss-1.3.1-Source-Candidate.zip</x:v>
      </x:c>
      <x:c r="E377" s="4" t="str">
        <x:v>sfx/gravity; unchanged original asset bytes.</x:v>
      </x:c>
    </x:row>
    <x:row r="378" ht="48" customHeight="1">
      <x:c r="A378" s="4" t="str">
        <x:v>bomba.ogg</x:v>
      </x:c>
      <x:c r="B378" s="4" t="str">
        <x:v>assets/audio/sfx/bomba.ogg</x:v>
      </x:c>
      <x:c r="C378" s="4" t="str">
        <x:v>Existing sound playback; game/audio.js / engine sound events</x:v>
      </x:c>
      <x:c r="D378" s="4" t="str">
        <x:v>Super-Wiss-1.3.1-Source-Candidate.zip</x:v>
      </x:c>
      <x:c r="E378" s="4" t="str">
        <x:v>sfx/bomba; unchanged original asset bytes.</x:v>
      </x:c>
    </x:row>
    <x:row r="379" ht="48" customHeight="1">
      <x:c r="A379" s="4" t="str">
        <x:v>pet-bite.ogg</x:v>
      </x:c>
      <x:c r="B379" s="4" t="str">
        <x:v>assets/audio/sfx/pet-bite.ogg</x:v>
      </x:c>
      <x:c r="C379" s="4" t="str">
        <x:v>Existing sound playback; game/audio.js / engine sound events</x:v>
      </x:c>
      <x:c r="D379" s="4" t="str">
        <x:v>Super-Wiss-1.3.1-Source-Candidate.zip</x:v>
      </x:c>
      <x:c r="E379" s="4" t="str">
        <x:v>sfx/pet-bite; unchanged original asset bytes.</x:v>
      </x:c>
    </x:row>
    <x:row r="380" ht="48" customHeight="1">
      <x:c r="A380" s="4" t="str">
        <x:v>fire-shot.ogg</x:v>
      </x:c>
      <x:c r="B380" s="4" t="str">
        <x:v>assets/audio/sfx/fire-shot.ogg</x:v>
      </x:c>
      <x:c r="C380" s="4" t="str">
        <x:v>Existing sound playback; game/audio.js / engine sound events</x:v>
      </x:c>
      <x:c r="D380" s="4" t="str">
        <x:v>Super-Wiss-1.3.1-Source-Candidate.zip</x:v>
      </x:c>
      <x:c r="E380" s="4" t="str">
        <x:v>sfx/fire-shot; unchanged original asset bytes.</x:v>
      </x:c>
    </x:row>
    <x:row r="381" ht="48" customHeight="1">
      <x:c r="A381" s="4" t="str">
        <x:v>lightning.ogg</x:v>
      </x:c>
      <x:c r="B381" s="4" t="str">
        <x:v>assets/audio/sfx/lightning.ogg</x:v>
      </x:c>
      <x:c r="C381" s="4" t="str">
        <x:v>Existing sound playback; game/audio.js / engine sound events</x:v>
      </x:c>
      <x:c r="D381" s="4" t="str">
        <x:v>Super-Wiss-1.3.1-Source-Candidate.zip</x:v>
      </x:c>
      <x:c r="E381" s="4" t="str">
        <x:v>sfx/lightning; unchanged original asset bytes.</x:v>
      </x:c>
    </x:row>
    <x:row r="382" ht="48" customHeight="1">
      <x:c r="A382" s="4" t="str">
        <x:v>power.ogg</x:v>
      </x:c>
      <x:c r="B382" s="4" t="str">
        <x:v>assets/audio/sfx/power.ogg</x:v>
      </x:c>
      <x:c r="C382" s="4" t="str">
        <x:v>Existing sound playback; game/audio.js / engine sound events</x:v>
      </x:c>
      <x:c r="D382" s="4" t="str">
        <x:v>Super-Wiss-1.3.1-Source-Candidate.zip</x:v>
      </x:c>
      <x:c r="E382" s="4" t="str">
        <x:v>sfx/power; unchanged original asset bytes.</x:v>
      </x:c>
    </x:row>
    <x:row r="383" ht="48" customHeight="1">
      <x:c r="A383" s="4" t="str">
        <x:v>checkpoint.ogg</x:v>
      </x:c>
      <x:c r="B383" s="4" t="str">
        <x:v>assets/audio/sfx/checkpoint.ogg</x:v>
      </x:c>
      <x:c r="C383" s="4" t="str">
        <x:v>Existing sound playback; game/audio.js / engine sound events</x:v>
      </x:c>
      <x:c r="D383" s="4" t="str">
        <x:v>Super-Wiss-1.3.1-Source-Candidate.zip</x:v>
      </x:c>
      <x:c r="E383" s="4" t="str">
        <x:v>sfx/checkpoint; unchanged original asset bytes.</x:v>
      </x:c>
    </x:row>
    <x:row r="384" ht="48" customHeight="1">
      <x:c r="A384" s="4" t="str">
        <x:v>finish.ogg</x:v>
      </x:c>
      <x:c r="B384" s="4" t="str">
        <x:v>assets/audio/sfx/finish.ogg</x:v>
      </x:c>
      <x:c r="C384" s="4" t="str">
        <x:v>Existing sound playback; game/audio.js / engine sound events</x:v>
      </x:c>
      <x:c r="D384" s="4" t="str">
        <x:v>Super-Wiss-1.3.1-Source-Candidate.zip</x:v>
      </x:c>
      <x:c r="E384" s="4" t="str">
        <x:v>sfx/finish; unchanged original asset bytes.</x:v>
      </x:c>
    </x:row>
    <x:row r="385" ht="48" customHeight="1">
      <x:c r="A385" s="4" t="str">
        <x:v>world.ogg</x:v>
      </x:c>
      <x:c r="B385" s="4" t="str">
        <x:v>assets/audio/sfx/world.ogg</x:v>
      </x:c>
      <x:c r="C385" s="4" t="str">
        <x:v>Existing sound playback; game/audio.js / engine sound events</x:v>
      </x:c>
      <x:c r="D385" s="4" t="str">
        <x:v>Super-Wiss-1.3.1-Source-Candidate.zip</x:v>
      </x:c>
      <x:c r="E385" s="4" t="str">
        <x:v>sfx/world; unchanged original asset bytes.</x:v>
      </x:c>
    </x:row>
    <x:row r="386" ht="48" customHeight="1">
      <x:c r="A386" s="4" t="str">
        <x:v>pet-found.ogg</x:v>
      </x:c>
      <x:c r="B386" s="4" t="str">
        <x:v>assets/audio/sfx/pet-found.ogg</x:v>
      </x:c>
      <x:c r="C386" s="4" t="str">
        <x:v>Existing sound playback; game/audio.js / engine sound events</x:v>
      </x:c>
      <x:c r="D386" s="4" t="str">
        <x:v>Super-Wiss-1.3.1-Source-Candidate.zip</x:v>
      </x:c>
      <x:c r="E386" s="4" t="str">
        <x:v>sfx/pet-found; unchanged original asset bytes.</x:v>
      </x:c>
    </x:row>
    <x:row r="387" ht="48" customHeight="1">
      <x:c r="A387" s="4" t="str">
        <x:v>skill.ogg</x:v>
      </x:c>
      <x:c r="B387" s="4" t="str">
        <x:v>assets/audio/sfx/skill.ogg</x:v>
      </x:c>
      <x:c r="C387" s="4" t="str">
        <x:v>Existing sound playback; game/audio.js / engine sound events</x:v>
      </x:c>
      <x:c r="D387" s="4" t="str">
        <x:v>Super-Wiss-1.3.1-Source-Candidate.zip</x:v>
      </x:c>
      <x:c r="E387" s="4" t="str">
        <x:v>sfx/skill; unchanged original asset bytes.</x:v>
      </x:c>
    </x:row>
    <x:row r="388" ht="48" customHeight="1">
      <x:c r="A388" s="4" t="str">
        <x:v>breath.ogg</x:v>
      </x:c>
      <x:c r="B388" s="4" t="str">
        <x:v>assets/audio/sfx/breath.ogg</x:v>
      </x:c>
      <x:c r="C388" s="4" t="str">
        <x:v>Existing sound playback; game/audio.js / engine sound events</x:v>
      </x:c>
      <x:c r="D388" s="4" t="str">
        <x:v>Super-Wiss-1.3.1-Source-Candidate.zip</x:v>
      </x:c>
      <x:c r="E388" s="4" t="str">
        <x:v>sfx/breath; unchanged original asset bytes.</x:v>
      </x:c>
    </x:row>
    <x:row r="389" ht="48" customHeight="1">
      <x:c r="A389" s="4" t="str">
        <x:v>flood.ogg</x:v>
      </x:c>
      <x:c r="B389" s="4" t="str">
        <x:v>assets/audio/sfx/flood.ogg</x:v>
      </x:c>
      <x:c r="C389" s="4" t="str">
        <x:v>Existing sound playback; game/audio.js / engine sound events</x:v>
      </x:c>
      <x:c r="D389" s="4" t="str">
        <x:v>Super-Wiss-1.3.1-Source-Candidate.zip</x:v>
      </x:c>
      <x:c r="E389" s="4" t="str">
        <x:v>sfx/flood; unchanged original asset bytes.</x:v>
      </x:c>
    </x:row>
    <x:row r="390" ht="48" customHeight="1">
      <x:c r="A390" s="4" t="str">
        <x:v>prince.ogg</x:v>
      </x:c>
      <x:c r="B390" s="4" t="str">
        <x:v>assets/audio/sfx/prince.ogg</x:v>
      </x:c>
      <x:c r="C390" s="4" t="str">
        <x:v>Existing sound playback; game/audio.js / engine sound events</x:v>
      </x:c>
      <x:c r="D390" s="4" t="str">
        <x:v>Super-Wiss-1.3.1-Source-Candidate.zip</x:v>
      </x:c>
      <x:c r="E390" s="4" t="str">
        <x:v>sfx/prince; unchanged original asset bytes.</x:v>
      </x:c>
    </x:row>
    <x:row r="391" ht="48" customHeight="1">
      <x:c r="A391" s="4" t="str">
        <x:v>chest.ogg</x:v>
      </x:c>
      <x:c r="B391" s="4" t="str">
        <x:v>assets/audio/sfx/chest.ogg</x:v>
      </x:c>
      <x:c r="C391" s="4" t="str">
        <x:v>Existing sound playback; game/audio.js / engine sound events</x:v>
      </x:c>
      <x:c r="D391" s="4" t="str">
        <x:v>Super-Wiss-1.3.1-Source-Candidate.zip</x:v>
      </x:c>
      <x:c r="E391" s="4" t="str">
        <x:v>sfx/chest; unchanged original asset bytes.</x:v>
      </x:c>
    </x:row>
    <x:row r="392" ht="48" customHeight="1">
      <x:c r="A392" s="4" t="str">
        <x:v>rescue.ogg</x:v>
      </x:c>
      <x:c r="B392" s="4" t="str">
        <x:v>assets/audio/sfx/rescue.ogg</x:v>
      </x:c>
      <x:c r="C392" s="4" t="str">
        <x:v>Existing sound playback; game/audio.js / engine sound events</x:v>
      </x:c>
      <x:c r="D392" s="4" t="str">
        <x:v>Super-Wiss-1.3.1-Source-Candidate.zip</x:v>
      </x:c>
      <x:c r="E392" s="4" t="str">
        <x:v>sfx/rescue; unchanged original asset bytes.</x:v>
      </x:c>
    </x:row>
    <x:row r="393" ht="48" customHeight="1">
      <x:c r="A393" s="4" t="str">
        <x:v>spring.ogg</x:v>
      </x:c>
      <x:c r="B393" s="4" t="str">
        <x:v>assets/audio/sfx/spring.ogg</x:v>
      </x:c>
      <x:c r="C393" s="4" t="str">
        <x:v>Existing sound playback; game/audio.js / engine sound events</x:v>
      </x:c>
      <x:c r="D393" s="4" t="str">
        <x:v>Super-Wiss-1.3.1-Source-Candidate.zip</x:v>
      </x:c>
      <x:c r="E393" s="4" t="str">
        <x:v>sfx/spring; unchanged original asset bytes.</x:v>
      </x:c>
    </x:row>
    <x:row r="394" ht="48" customHeight="1">
      <x:c r="A394" s="4" t="str">
        <x:v>frontier.ogg</x:v>
      </x:c>
      <x:c r="B394" s="4" t="str">
        <x:v>assets/audio/music/frontier.ogg</x:v>
      </x:c>
      <x:c r="C394" s="4" t="str">
        <x:v>Existing world/menu music; game/audio.js / map music metadata</x:v>
      </x:c>
      <x:c r="D394" s="4" t="str">
        <x:v>Super-Wiss-1.3.1-Source-Candidate.zip</x:v>
      </x:c>
      <x:c r="E394" s="4" t="str">
        <x:v>music/frontier; unchanged original asset bytes.</x:v>
      </x:c>
    </x:row>
    <x:row r="395" ht="48" customHeight="1">
      <x:c r="A395" s="4" t="str">
        <x:v>moonlight.ogg</x:v>
      </x:c>
      <x:c r="B395" s="4" t="str">
        <x:v>assets/audio/music/moonlight.ogg</x:v>
      </x:c>
      <x:c r="C395" s="4" t="str">
        <x:v>Existing world/menu music; game/audio.js / map music metadata</x:v>
      </x:c>
      <x:c r="D395" s="4" t="str">
        <x:v>Super-Wiss-1.3.1-Source-Candidate.zip</x:v>
      </x:c>
      <x:c r="E395" s="4" t="str">
        <x:v>music/moonlight; unchanged original asset bytes.</x:v>
      </x:c>
    </x:row>
    <x:row r="396" ht="48" customHeight="1">
      <x:c r="A396" s="4" t="str">
        <x:v>skyward.ogg</x:v>
      </x:c>
      <x:c r="B396" s="4" t="str">
        <x:v>assets/audio/music/skyward.ogg</x:v>
      </x:c>
      <x:c r="C396" s="4" t="str">
        <x:v>Existing world/menu music; game/audio.js / map music metadata</x:v>
      </x:c>
      <x:c r="D396" s="4" t="str">
        <x:v>Super-Wiss-1.3.1-Source-Candidate.zip</x:v>
      </x:c>
      <x:c r="E396" s="4" t="str">
        <x:v>music/skyward; unchanged original asset bytes.</x:v>
      </x:c>
    </x:row>
    <x:row r="397" ht="48" customHeight="1">
      <x:c r="A397" s="4" t="str">
        <x:v>clockwork.ogg</x:v>
      </x:c>
      <x:c r="B397" s="4" t="str">
        <x:v>assets/audio/music/clockwork.ogg</x:v>
      </x:c>
      <x:c r="C397" s="4" t="str">
        <x:v>Existing world/menu music; game/audio.js / map music metadata</x:v>
      </x:c>
      <x:c r="D397" s="4" t="str">
        <x:v>Super-Wiss-1.3.1-Source-Candidate.zip</x:v>
      </x:c>
      <x:c r="E397" s="4" t="str">
        <x:v>music/clockwork; unchanged original asset bytes.</x:v>
      </x:c>
    </x:row>
    <x:row r="398" ht="48" customHeight="1">
      <x:c r="A398" s="4" t="str">
        <x:v>starlight.ogg</x:v>
      </x:c>
      <x:c r="B398" s="4" t="str">
        <x:v>assets/audio/music/starlight.ogg</x:v>
      </x:c>
      <x:c r="C398" s="4" t="str">
        <x:v>Existing world/menu music; game/audio.js / map music metadata</x:v>
      </x:c>
      <x:c r="D398" s="4" t="str">
        <x:v>Super-Wiss-1.3.1-Source-Candidate.zip</x:v>
      </x:c>
      <x:c r="E398" s="4" t="str">
        <x:v>music/starlight; unchanged original asset bytes.</x:v>
      </x:c>
    </x:row>
    <x:row r="399" ht="48" customHeight="1">
      <x:c r="A399" s="4" t="str">
        <x:v>slash.ogg</x:v>
      </x:c>
      <x:c r="B399" s="4" t="str">
        <x:v>assets/audio/sfx/slash.ogg</x:v>
      </x:c>
      <x:c r="C399" s="4" t="str">
        <x:v>Existing sound playback; game/audio.js / engine sound events</x:v>
      </x:c>
      <x:c r="D399" s="4" t="str">
        <x:v>Super-Wiss-1.3.1-Source-Candidate.zip</x:v>
      </x:c>
      <x:c r="E399" s="4" t="str">
        <x:v>sfx/slash; unchanged original asset bytes.</x:v>
      </x:c>
    </x:row>
    <x:row r="400" ht="48" customHeight="1">
      <x:c r="A400" s="4" t="str">
        <x:v>knife.ogg</x:v>
      </x:c>
      <x:c r="B400" s="4" t="str">
        <x:v>assets/audio/sfx/knife.ogg</x:v>
      </x:c>
      <x:c r="C400" s="4" t="str">
        <x:v>Existing sound playback; game/audio.js / engine sound events</x:v>
      </x:c>
      <x:c r="D400" s="4" t="str">
        <x:v>Super-Wiss-1.3.1-Source-Candidate.zip</x:v>
      </x:c>
      <x:c r="E400" s="4" t="str">
        <x:v>sfx/knife; unchanged original asset bytes.</x:v>
      </x:c>
    </x:row>
    <x:row r="401" ht="48" customHeight="1">
      <x:c r="A401" s="4" t="str">
        <x:v>dodge.ogg</x:v>
      </x:c>
      <x:c r="B401" s="4" t="str">
        <x:v>assets/audio/sfx/dodge.ogg</x:v>
      </x:c>
      <x:c r="C401" s="4" t="str">
        <x:v>Existing sound playback; game/audio.js / engine sound events</x:v>
      </x:c>
      <x:c r="D401" s="4" t="str">
        <x:v>Super-Wiss-1.3.1-Source-Candidate.zip</x:v>
      </x:c>
      <x:c r="E401" s="4" t="str">
        <x:v>sfx/dodge; unchanged original asset bytes.</x:v>
      </x:c>
    </x:row>
    <x:row r="402" ht="48" customHeight="1">
      <x:c r="A402" s="4" t="str">
        <x:v>boss-intro.ogg</x:v>
      </x:c>
      <x:c r="B402" s="4" t="str">
        <x:v>assets/audio/sfx/boss-intro.ogg</x:v>
      </x:c>
      <x:c r="C402" s="4" t="str">
        <x:v>Existing sound playback; game/audio.js / engine sound events</x:v>
      </x:c>
      <x:c r="D402" s="4" t="str">
        <x:v>Super-Wiss-1.3.1-Source-Candidate.zip</x:v>
      </x:c>
      <x:c r="E402" s="4" t="str">
        <x:v>sfx/boss-intro; unchanged original asset bytes.</x:v>
      </x:c>
    </x:row>
    <x:row r="403" ht="48" customHeight="1">
      <x:c r="A403" s="4" t="str">
        <x:v>boss-warn.ogg</x:v>
      </x:c>
      <x:c r="B403" s="4" t="str">
        <x:v>assets/audio/sfx/boss-warn.ogg</x:v>
      </x:c>
      <x:c r="C403" s="4" t="str">
        <x:v>Existing sound playback; game/audio.js / engine sound events</x:v>
      </x:c>
      <x:c r="D403" s="4" t="str">
        <x:v>Super-Wiss-1.3.1-Source-Candidate.zip</x:v>
      </x:c>
      <x:c r="E403" s="4" t="str">
        <x:v>sfx/boss-warn; unchanged original asset bytes.</x:v>
      </x:c>
    </x:row>
    <x:row r="404" ht="48" customHeight="1">
      <x:c r="A404" s="4" t="str">
        <x:v>boss-strike.ogg</x:v>
      </x:c>
      <x:c r="B404" s="4" t="str">
        <x:v>assets/audio/sfx/boss-strike.ogg</x:v>
      </x:c>
      <x:c r="C404" s="4" t="str">
        <x:v>Existing sound playback; game/audio.js / engine sound events</x:v>
      </x:c>
      <x:c r="D404" s="4" t="str">
        <x:v>Super-Wiss-1.3.1-Source-Candidate.zip</x:v>
      </x:c>
      <x:c r="E404" s="4" t="str">
        <x:v>sfx/boss-strike; unchanged original asset bytes.</x:v>
      </x:c>
    </x:row>
    <x:row r="405" ht="48" customHeight="1">
      <x:c r="A405" s="4" t="str">
        <x:v>boss-phase.ogg</x:v>
      </x:c>
      <x:c r="B405" s="4" t="str">
        <x:v>assets/audio/sfx/boss-phase.ogg</x:v>
      </x:c>
      <x:c r="C405" s="4" t="str">
        <x:v>Existing sound playback; game/audio.js / engine sound events</x:v>
      </x:c>
      <x:c r="D405" s="4" t="str">
        <x:v>Super-Wiss-1.3.1-Source-Candidate.zip</x:v>
      </x:c>
      <x:c r="E405" s="4" t="str">
        <x:v>sfx/boss-phase; unchanged original asset bytes.</x:v>
      </x:c>
    </x:row>
    <x:row r="406" ht="48" customHeight="1">
      <x:c r="A406" s="4" t="str">
        <x:v>boss-hit.ogg</x:v>
      </x:c>
      <x:c r="B406" s="4" t="str">
        <x:v>assets/audio/sfx/boss-hit.ogg</x:v>
      </x:c>
      <x:c r="C406" s="4" t="str">
        <x:v>Existing sound playback; game/audio.js / engine sound events</x:v>
      </x:c>
      <x:c r="D406" s="4" t="str">
        <x:v>Super-Wiss-1.3.1-Source-Candidate.zip</x:v>
      </x:c>
      <x:c r="E406" s="4" t="str">
        <x:v>sfx/boss-hit; unchanged original asset bytes.</x:v>
      </x:c>
    </x:row>
    <x:row r="407" ht="48" customHeight="1">
      <x:c r="A407" s="4" t="str">
        <x:v>boss-defeat.ogg</x:v>
      </x:c>
      <x:c r="B407" s="4" t="str">
        <x:v>assets/audio/sfx/boss-defeat.ogg</x:v>
      </x:c>
      <x:c r="C407" s="4" t="str">
        <x:v>Existing sound playback; game/audio.js / engine sound events</x:v>
      </x:c>
      <x:c r="D407" s="4" t="str">
        <x:v>Super-Wiss-1.3.1-Source-Candidate.zip</x:v>
      </x:c>
      <x:c r="E407" s="4" t="str">
        <x:v>sfx/boss-defeat; unchanged original asset bytes.</x:v>
      </x:c>
    </x:row>
    <x:row r="408" ht="48" customHeight="1">
      <x:c r="A408" s="4" t="str">
        <x:v>sigil.ogg</x:v>
      </x:c>
      <x:c r="B408" s="4" t="str">
        <x:v>assets/audio/sfx/sigil.ogg</x:v>
      </x:c>
      <x:c r="C408" s="4" t="str">
        <x:v>Existing sound playback; game/audio.js / engine sound events</x:v>
      </x:c>
      <x:c r="D408" s="4" t="str">
        <x:v>Super-Wiss-1.3.1-Source-Candidate.zip</x:v>
      </x:c>
      <x:c r="E408" s="4" t="str">
        <x:v>sfx/sigil; unchanged original asset bytes.</x:v>
      </x:c>
    </x:row>
    <x:row r="409" ht="48" customHeight="1">
      <x:c r="A409" s="4" t="str">
        <x:v>seal-open.ogg</x:v>
      </x:c>
      <x:c r="B409" s="4" t="str">
        <x:v>assets/audio/sfx/seal-open.ogg</x:v>
      </x:c>
      <x:c r="C409" s="4" t="str">
        <x:v>Existing sound playback; game/audio.js / engine sound events</x:v>
      </x:c>
      <x:c r="D409" s="4" t="str">
        <x:v>Super-Wiss-1.3.1-Source-Candidate.zip</x:v>
      </x:c>
      <x:c r="E409" s="4" t="str">
        <x:v>sfx/seal-open; unchanged original asset bytes.</x:v>
      </x:c>
    </x:row>
    <x:row r="410" ht="48" customHeight="1">
      <x:c r="A410" s="4" t="str">
        <x:v>seal-wave.ogg</x:v>
      </x:c>
      <x:c r="B410" s="4" t="str">
        <x:v>assets/audio/sfx/seal-wave.ogg</x:v>
      </x:c>
      <x:c r="C410" s="4" t="str">
        <x:v>Existing sound playback; game/audio.js / engine sound events</x:v>
      </x:c>
      <x:c r="D410" s="4" t="str">
        <x:v>Super-Wiss-1.3.1-Source-Candidate.zip</x:v>
      </x:c>
      <x:c r="E410" s="4" t="str">
        <x:v>sfx/seal-wave; unchanged original asset bytes.</x:v>
      </x:c>
    </x:row>
    <x:row r="411" ht="48" customHeight="1">
      <x:c r="A411" s="4" t="str">
        <x:v>summon.ogg</x:v>
      </x:c>
      <x:c r="B411" s="4" t="str">
        <x:v>assets/audio/sfx/summon.ogg</x:v>
      </x:c>
      <x:c r="C411" s="4" t="str">
        <x:v>Existing sound playback; game/audio.js / engine sound events</x:v>
      </x:c>
      <x:c r="D411" s="4" t="str">
        <x:v>Super-Wiss-1.3.1-Source-Candidate.zip</x:v>
      </x:c>
      <x:c r="E411" s="4" t="str">
        <x:v>sfx/summon; unchanged original asset bytes.</x:v>
      </x:c>
    </x:row>
    <x:row r="412" ht="48" customHeight="1">
      <x:c r="A412" s="4" t="str">
        <x:v>pogo.ogg</x:v>
      </x:c>
      <x:c r="B412" s="4" t="str">
        <x:v>assets/audio/sfx/pogo.ogg</x:v>
      </x:c>
      <x:c r="C412" s="4" t="str">
        <x:v>Existing sound playback; game/audio.js / engine sound events</x:v>
      </x:c>
      <x:c r="D412" s="4" t="str">
        <x:v>Super-Wiss-1.3.1-Source-Candidate.zip</x:v>
      </x:c>
      <x:c r="E412" s="4" t="str">
        <x:v>sfx/pogo; unchanged original asset bytes.</x:v>
      </x:c>
    </x:row>
    <x:row r="413" ht="48" customHeight="1">
      <x:c r="A413" s="4" t="str">
        <x:v>boss.ogg</x:v>
      </x:c>
      <x:c r="B413" s="4" t="str">
        <x:v>assets/audio/music/boss.ogg</x:v>
      </x:c>
      <x:c r="C413" s="4" t="str">
        <x:v>Existing world/menu music; game/audio.js / map music metadata</x:v>
      </x:c>
      <x:c r="D413" s="4" t="str">
        <x:v>Super-Wiss-1.3.1-Source-Candidate.zip</x:v>
      </x:c>
      <x:c r="E413" s="4" t="str">
        <x:v>music/boss; unchanged original asset bytes.</x:v>
      </x:c>
    </x:row>
    <x:row r="414" ht="48" customHeight="1">
      <x:c r="A414" s="4" t="str">
        <x:v>menu.wav</x:v>
      </x:c>
      <x:c r="B414" s="4" t="str">
        <x:v>assets/audio/ascension/menu.wav</x:v>
      </x:c>
      <x:c r="C414" s="4" t="str">
        <x:v>Existing world/menu music; game/audio.js / map music metadata</x:v>
      </x:c>
      <x:c r="D414" s="4" t="str">
        <x:v>Super-Wiss-1.3.1-Source-Candidate.zip</x:v>
      </x:c>
      <x:c r="E414" s="4" t="str">
        <x:v>music/menu; unchanged original asset bytes.</x:v>
      </x:c>
    </x:row>
    <x:row r="415" ht="48" customHeight="1">
      <x:c r="A415" s="4" t="str">
        <x:v>raid.wav</x:v>
      </x:c>
      <x:c r="B415" s="4" t="str">
        <x:v>assets/audio/ascension/raid.wav</x:v>
      </x:c>
      <x:c r="C415" s="4" t="str">
        <x:v>Existing world/menu music; game/audio.js / map music metadata</x:v>
      </x:c>
      <x:c r="D415" s="4" t="str">
        <x:v>Super-Wiss-1.3.1-Source-Candidate.zip</x:v>
      </x:c>
      <x:c r="E415" s="4" t="str">
        <x:v>music/raid; unchanged original asset bytes.</x:v>
      </x:c>
    </x:row>
    <x:row r="416" ht="48" customHeight="1">
      <x:c r="A416" s="4" t="str">
        <x:v>room-join.wav</x:v>
      </x:c>
      <x:c r="B416" s="4" t="str">
        <x:v>assets/audio/ascension/room-join.wav</x:v>
      </x:c>
      <x:c r="C416" s="4" t="str">
        <x:v>Existing sound playback; game/audio.js / engine sound events</x:v>
      </x:c>
      <x:c r="D416" s="4" t="str">
        <x:v>Super-Wiss-1.3.1-Source-Candidate.zip</x:v>
      </x:c>
      <x:c r="E416" s="4" t="str">
        <x:v>sfx/room-join; unchanged original asset bytes.</x:v>
      </x:c>
    </x:row>
    <x:row r="417" ht="66" customHeight="1">
      <x:c r="A417" s="51" t="str">
        <x:v>panel-shell.png</x:v>
      </x:c>
      <x:c r="B417" s="51" t="str">
        <x:v>assets/ui/frames/panel-shell.png</x:v>
      </x:c>
      <x:c r="C417" s="51" t="str">
        <x:v>All ten screens: shared corner-preserving panel shell</x:v>
      </x:c>
      <x:c r="D417" s="51" t="str">
        <x:v>assets/ui/frames/panel.png</x:v>
      </x:c>
      <x:c r="E417" s="51" t="str">
        <x:v>v1.4.1. Nine unchanged source sections repacked; 32px border slices; no corner stretch. SHA256 bdfb4ce1a159c0056e0753199cb06f32237046c1a3aaad81bd541fa62460beac</x:v>
      </x:c>
    </x:row>
    <x:row r="418" ht="66" customHeight="1">
      <x:c r="A418" s="51" t="str">
        <x:v>diamond.png</x:v>
      </x:c>
      <x:c r="B418" s="51" t="str">
        <x:v>assets/ui/ornaments/diamond.png</x:v>
      </x:c>
      <x:c r="C418" s="51" t="str">
        <x:v>All screen headers and panel/card caption dividers</x:v>
      </x:c>
      <x:c r="D418" s="51" t="str">
        <x:v>assets/ui/frames/panel.png</x:v>
      </x:c>
      <x:c r="E418" s="51" t="str">
        <x:v>v1.4.1. Source pixels cropped unchanged. SHA256 002acb15001353a5a76eaac547a16db6ac30d81ce52d878bcae12c123824d8c1</x:v>
      </x:c>
    </x:row>
    <x:row r="419" ht="66" customHeight="1">
      <x:c r="A419" s="51" t="str">
        <x:v>rule.png</x:v>
      </x:c>
      <x:c r="B419" s="51" t="str">
        <x:v>assets/ui/ornaments/rule.png</x:v>
      </x:c>
      <x:c r="C419" s="51" t="str">
        <x:v>All screen headers and panel/card caption dividers</x:v>
      </x:c>
      <x:c r="D419" s="51" t="str">
        <x:v>assets/ui/frames/panel.png</x:v>
      </x:c>
      <x:c r="E419" s="51" t="str">
        <x:v>v1.4.1. Source pixels cropped unchanged. SHA256 7c436e851a095aafe4ac1fb9d934679bf799f6f9c47cd97ddfbe41f4d9313f46</x:v>
      </x:c>
    </x:row>
    <x:row r="420" ht="66" customHeight="1">
      <x:c r="A420" s="51" t="str">
        <x:v>crown-silver.png</x:v>
      </x:c>
      <x:c r="B420" s="51" t="str">
        <x:v>assets/ui/icons/crown-silver.png</x:v>
      </x:c>
      <x:c r="C420" s="51" t="str">
        <x:v>Boss Hunt: themed crown badge</x:v>
      </x:c>
      <x:c r="D420" s="51" t="str">
        <x:v>art-source/ui/Assets_icons.png</x:v>
      </x:c>
      <x:c r="E420" s="51" t="str">
        <x:v>v1.4.1. Source pixels cropped unchanged. SHA256 01a9c56c363d7ef008328faefcd468c39455b68b2f8e2d3d2bca51688ea76a75</x:v>
      </x:c>
    </x:row>
    <x:row r="421" ht="66" customHeight="1">
      <x:c r="A421" s="51" t="str">
        <x:v>crown-red.png</x:v>
      </x:c>
      <x:c r="B421" s="51" t="str">
        <x:v>assets/ui/icons/crown-red.png</x:v>
      </x:c>
      <x:c r="C421" s="51" t="str">
        <x:v>Boss Hunt: themed crown badge</x:v>
      </x:c>
      <x:c r="D421" s="51" t="str">
        <x:v>art-source/ui/Assets_icons.png</x:v>
      </x:c>
      <x:c r="E421" s="51" t="str">
        <x:v>v1.4.1. Source pixels cropped unchanged. SHA256 f37acb7aacda4566e258e285e98c7215da32c3731e21cc1b6307079825696967</x:v>
      </x:c>
    </x:row>
    <x:row r="422" ht="66" customHeight="1">
      <x:c r="A422" s="51" t="str">
        <x:v>crown-green.png</x:v>
      </x:c>
      <x:c r="B422" s="51" t="str">
        <x:v>assets/ui/icons/crown-green.png</x:v>
      </x:c>
      <x:c r="C422" s="51" t="str">
        <x:v>Boss Hunt: themed crown badge</x:v>
      </x:c>
      <x:c r="D422" s="51" t="str">
        <x:v>art-source/ui/Assets_icons.png</x:v>
      </x:c>
      <x:c r="E422" s="51" t="str">
        <x:v>v1.4.1. Source pixels cropped unchanged. SHA256 0833d2b03c5e245c6f22c7747ac328d006f7c3a0c4bd78633270aa386b3bc427</x:v>
      </x:c>
    </x:row>
    <x:row r="423" ht="66" customHeight="1">
      <x:c r="A423" s="51" t="str">
        <x:v>crown-cyan.png</x:v>
      </x:c>
      <x:c r="B423" s="51" t="str">
        <x:v>assets/ui/icons/crown-cyan.png</x:v>
      </x:c>
      <x:c r="C423" s="51" t="str">
        <x:v>Boss Hunt: themed crown badge</x:v>
      </x:c>
      <x:c r="D423" s="51" t="str">
        <x:v>art-source/ui/Assets_icons.png</x:v>
      </x:c>
      <x:c r="E423" s="51" t="str">
        <x:v>v1.4.1. Source pixels cropped unchanged. SHA256 36ba5dc99dfa814e96663d3159ea2c097371c874389959e68368c5f44486a53f</x:v>
      </x:c>
    </x:row>
    <x:row r="424" ht="66" customHeight="1">
      <x:c r="A424" s="51" t="str">
        <x:v>crown-pink.png</x:v>
      </x:c>
      <x:c r="B424" s="51" t="str">
        <x:v>assets/ui/icons/crown-pink.png</x:v>
      </x:c>
      <x:c r="C424" s="51" t="str">
        <x:v>Prepared/registered; not currently drawn by Boss Hunt theme cycle</x:v>
      </x:c>
      <x:c r="D424" s="51" t="str">
        <x:v>art-source/ui/Assets_icons.png</x:v>
      </x:c>
      <x:c r="E424" s="51" t="str">
        <x:v>v1.4.1. Source pixels cropped unchanged. SHA256 64fce3ee8891569a5f631d8836b3b2099971297207471d0b102889f5cc762159</x:v>
      </x:c>
    </x:row>
  </x:sheetData>
  <x:pageMargins left="0.7" right="0.7" top="0.75" bottom="0.75" header="0.3" footer="0.3"/>
  <x:tableParts count="1">
    <x:tablePart xmlns:r="http://schemas.openxmlformats.org/officeDocument/2006/relationships" r:id="R0fc2a4a2676140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2" hidden="0" customWidth="1"/>
    <x:col min="3" max="3" width="43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62" hidden="0" customWidth="1"/>
    <x:col min="9" max="9" width="67" hidden="0" customWidth="1"/>
  </x:cols>
  <x:sheetData>
    <x:row r="1" ht="34" customHeight="1">
      <x:c r="A1" s="10" t="str">
        <x:v>Manifest key</x:v>
      </x:c>
      <x:c r="B1" s="10" t="str">
        <x:v>Output path</x:v>
      </x:c>
      <x:c r="C1" s="10" t="str">
        <x:v>Original source sheet</x:v>
      </x:c>
      <x:c r="D1" s="10" t="str">
        <x:v>Left</x:v>
      </x:c>
      <x:c r="E1" s="10" t="str">
        <x:v>Top</x:v>
      </x:c>
      <x:c r="F1" s="10" t="str">
        <x:v>Right excl.</x:v>
      </x:c>
      <x:c r="G1" s="10" t="str">
        <x:v>Bottom excl.</x:v>
      </x:c>
      <x:c r="H1" s="10" t="str">
        <x:v>Source code references</x:v>
      </x:c>
      <x:c r="I1" s="10" t="str">
        <x:v>PNG SHA-256</x:v>
      </x:c>
    </x:row>
    <x:row r="2" ht="48" customHeight="1">
      <x:c r="A2" s="4" t="str">
        <x:v>ui/icons/coin</x:v>
      </x:c>
      <x:c r="B2" s="4" t="str">
        <x:v>assets/ui/icons/coin.png</x:v>
      </x:c>
      <x:c r="C2" s="4" t="str">
        <x:v>art-source/ui/Assets_icons.png</x:v>
      </x:c>
      <x:c r="D2" s="4" t="n">
        <x:v>34</x:v>
      </x:c>
      <x:c r="E2" s="4" t="n">
        <x:v>75</x:v>
      </x:c>
      <x:c r="F2" s="4" t="n">
        <x:v>120</x:v>
      </x:c>
      <x:c r="G2" s="4" t="n">
        <x:v>164</x:v>
      </x:c>
      <x:c r="H2" s="4" t="str">
        <x:v>game/audio.js:78; game/content.js:2; game/engine.js:826; game/engine.js:1013; game/app.js:142; game/app.js:156</x:v>
      </x:c>
      <x:c r="I2" s="4" t="str">
        <x:v>4bafa662c317be6714beb48f15607f932d32fc4d5e09bb32c5a4527197cb1f7f</x:v>
      </x:c>
    </x:row>
    <x:row r="3" ht="48" customHeight="1">
      <x:c r="A3" s="4" t="str">
        <x:v>ui/icons/star</x:v>
      </x:c>
      <x:c r="B3" s="4" t="str">
        <x:v>assets/ui/icons/star.png</x:v>
      </x:c>
      <x:c r="C3" s="4" t="str">
        <x:v>art-source/ui/Assets_icons.png</x:v>
      </x:c>
      <x:c r="D3" s="4" t="n">
        <x:v>125</x:v>
      </x:c>
      <x:c r="E3" s="4" t="n">
        <x:v>72</x:v>
      </x:c>
      <x:c r="F3" s="4" t="n">
        <x:v>221</x:v>
      </x:c>
      <x:c r="G3" s="4" t="n">
        <x:v>167</x:v>
      </x:c>
      <x:c r="H3" s="4" t="str">
        <x:v>game/content.js:2; game/app.js:102; game/app.js:108; game/app.js:158; game/app.js:226; game/app.js:263</x:v>
      </x:c>
      <x:c r="I3" s="4" t="str">
        <x:v>d93142fa01358a4c0f9128b94cd5e51538b9b8a62e266c5d2b4252ffe364ff4a</x:v>
      </x:c>
    </x:row>
    <x:row r="4" ht="48" customHeight="1">
      <x:c r="A4" s="4" t="str">
        <x:v>ui/icons/plus</x:v>
      </x:c>
      <x:c r="B4" s="4" t="str">
        <x:v>assets/ui/icons/plus.png</x:v>
      </x:c>
      <x:c r="C4" s="4" t="str">
        <x:v>art-source/ui/Assets_icons.png</x:v>
      </x:c>
      <x:c r="D4" s="4" t="n">
        <x:v>239</x:v>
      </x:c>
      <x:c r="E4" s="4" t="n">
        <x:v>83</x:v>
      </x:c>
      <x:c r="F4" s="4" t="n">
        <x:v>322</x:v>
      </x:c>
      <x:c r="G4" s="4" t="n">
        <x:v>165</x:v>
      </x:c>
      <x:c r="H4" s="4" t="str">
        <x:v>game/index.html:4</x:v>
      </x:c>
      <x:c r="I4" s="4" t="str">
        <x:v>9217dd1808e5cb57e5628dd12eac5dc5c9794c9ae2395889be486e2d071bc149</x:v>
      </x:c>
    </x:row>
    <x:row r="5" ht="48" customHeight="1">
      <x:c r="A5" s="4" t="str">
        <x:v>ui/icons/friends</x:v>
      </x:c>
      <x:c r="B5" s="4" t="str">
        <x:v>assets/ui/icons/friends.png</x:v>
      </x:c>
      <x:c r="C5" s="4" t="str">
        <x:v>art-source/ui/Assets_icons.png</x:v>
      </x:c>
      <x:c r="D5" s="4" t="n">
        <x:v>340</x:v>
      </x:c>
      <x:c r="E5" s="4" t="n">
        <x:v>79</x:v>
      </x:c>
      <x:c r="F5" s="4" t="n">
        <x:v>433</x:v>
      </x:c>
      <x:c r="G5" s="4" t="n">
        <x:v>161</x:v>
      </x:c>
      <x:c r="H5" s="4" t="str">
        <x:v>game/ascension-ui.js:95; game/social.js:11; game/index.html:4; game/index.html:11</x:v>
      </x:c>
      <x:c r="I5" s="4" t="str">
        <x:v>9b94684d0cd2c8204e78c6059e2d4a3d4f6a2870d1dd0680855c5a9d3237343f</x:v>
      </x:c>
    </x:row>
    <x:row r="6" ht="48" customHeight="1">
      <x:c r="A6" s="4" t="str">
        <x:v>ui/icons/settings</x:v>
      </x:c>
      <x:c r="B6" s="4" t="str">
        <x:v>assets/ui/icons/settings.png</x:v>
      </x:c>
      <x:c r="C6" s="4" t="str">
        <x:v>art-source/ui/Assets_icons.png</x:v>
      </x:c>
      <x:c r="D6" s="4" t="n">
        <x:v>448</x:v>
      </x:c>
      <x:c r="E6" s="4" t="n">
        <x:v>73</x:v>
      </x:c>
      <x:c r="F6" s="4" t="n">
        <x:v>545</x:v>
      </x:c>
      <x:c r="G6" s="4" t="n">
        <x:v>171</x:v>
      </x:c>
      <x:c r="H6" s="4" t="str">
        <x:v>game/content.js:2; game/app.js:151; game/app.js:239; game/app.js:281; game/app.js:309; game/index.html:4</x:v>
      </x:c>
      <x:c r="I6" s="4" t="str">
        <x:v>a76419c08796d5a1e422f28cd2ccd19684ece3706a79a2dca9f5fc7fd2de0e42</x:v>
      </x:c>
    </x:row>
    <x:row r="7" ht="48" customHeight="1">
      <x:c r="A7" s="4" t="str">
        <x:v>ui/icons/close</x:v>
      </x:c>
      <x:c r="B7" s="4" t="str">
        <x:v>assets/ui/icons/close.png</x:v>
      </x:c>
      <x:c r="C7" s="4" t="str">
        <x:v>art-source/ui/Assets_icons.png</x:v>
      </x:c>
      <x:c r="D7" s="4" t="n">
        <x:v>564</x:v>
      </x:c>
      <x:c r="E7" s="4" t="n">
        <x:v>80</x:v>
      </x:c>
      <x:c r="F7" s="4" t="n">
        <x:v>648</x:v>
      </x:c>
      <x:c r="G7" s="4" t="n">
        <x:v>164</x:v>
      </x:c>
      <x:c r="H7" s="4" t="str">
        <x:v>game/ascension-ui.js:58; game/app.js:87; game/app.js:153; game/app.js:282; game/app.js:293; game/progress.js:52</x:v>
      </x:c>
      <x:c r="I7" s="4" t="str">
        <x:v>51af1a948e0151cbf7215e990d134093971de780d30c709a67b702a0da2f840b</x:v>
      </x:c>
    </x:row>
    <x:row r="8" ht="48" customHeight="1">
      <x:c r="A8" s="4" t="str">
        <x:v>ui/icons/edit</x:v>
      </x:c>
      <x:c r="B8" s="4" t="str">
        <x:v>assets/ui/icons/edit.png</x:v>
      </x:c>
      <x:c r="C8" s="4" t="str">
        <x:v>art-source/ui/Assets_icons.png</x:v>
      </x:c>
      <x:c r="D8" s="4" t="n">
        <x:v>671</x:v>
      </x:c>
      <x:c r="E8" s="4" t="n">
        <x:v>79</x:v>
      </x:c>
      <x:c r="F8" s="4" t="n">
        <x:v>757</x:v>
      </x:c>
      <x:c r="G8" s="4" t="n">
        <x:v>164</x:v>
      </x:c>
      <x:c r="H8" s="4" t="str">
        <x:v>No direct consumer; registered spare/dynamic-only</x:v>
      </x:c>
      <x:c r="I8" s="4" t="str">
        <x:v>9045c72ac629f36d95225862e86df767abee52e7ca4570b3da407c24b59236ee</x:v>
      </x:c>
    </x:row>
    <x:row r="9" ht="48" customHeight="1">
      <x:c r="A9" s="4" t="str">
        <x:v>ui/icons/help</x:v>
      </x:c>
      <x:c r="B9" s="4" t="str">
        <x:v>assets/ui/icons/help.png</x:v>
      </x:c>
      <x:c r="C9" s="4" t="str">
        <x:v>art-source/ui/Assets_icons.png</x:v>
      </x:c>
      <x:c r="D9" s="4" t="n">
        <x:v>778</x:v>
      </x:c>
      <x:c r="E9" s="4" t="n">
        <x:v>78</x:v>
      </x:c>
      <x:c r="F9" s="4" t="n">
        <x:v>863</x:v>
      </x:c>
      <x:c r="G9" s="4" t="n">
        <x:v>163</x:v>
      </x:c>
      <x:c r="H9" s="4" t="str">
        <x:v>game/app.js:283</x:v>
      </x:c>
      <x:c r="I9" s="4" t="str">
        <x:v>04c9705a9457c7d47e26605a18ec3e51e82cf7d292ec7f11e97d104e9daea941</x:v>
      </x:c>
    </x:row>
    <x:row r="10" ht="48" customHeight="1">
      <x:c r="A10" s="4" t="str">
        <x:v>ui/icons/info</x:v>
      </x:c>
      <x:c r="B10" s="4" t="str">
        <x:v>assets/ui/icons/info.png</x:v>
      </x:c>
      <x:c r="C10" s="4" t="str">
        <x:v>art-source/ui/Assets_icons.png</x:v>
      </x:c>
      <x:c r="D10" s="4" t="n">
        <x:v>887</x:v>
      </x:c>
      <x:c r="E10" s="4" t="n">
        <x:v>78</x:v>
      </x:c>
      <x:c r="F10" s="4" t="n">
        <x:v>972</x:v>
      </x:c>
      <x:c r="G10" s="4" t="n">
        <x:v>163</x:v>
      </x:c>
      <x:c r="H10" s="4" t="str">
        <x:v>game/app.js:283</x:v>
      </x:c>
      <x:c r="I10" s="4" t="str">
        <x:v>6e259a437c98481aa4b217e7c8f414f7549a8d9a64d2f165bb4e01975fd75b4d</x:v>
      </x:c>
    </x:row>
    <x:row r="11" ht="48" customHeight="1">
      <x:c r="A11" s="4" t="str">
        <x:v>ui/icons/check</x:v>
      </x:c>
      <x:c r="B11" s="4" t="str">
        <x:v>assets/ui/icons/check.png</x:v>
      </x:c>
      <x:c r="C11" s="4" t="str">
        <x:v>art-source/ui/Assets_icons.png</x:v>
      </x:c>
      <x:c r="D11" s="4" t="n">
        <x:v>988</x:v>
      </x:c>
      <x:c r="E11" s="4" t="n">
        <x:v>78</x:v>
      </x:c>
      <x:c r="F11" s="4" t="n">
        <x:v>1096</x:v>
      </x:c>
      <x:c r="G11" s="4" t="n">
        <x:v>165</x:v>
      </x:c>
      <x:c r="H11" s="4" t="str">
        <x:v>game/atelier-ui.js:15; game/app.js:118; game/app.js:131; game/app.js:142; game/app.js:263; game/app.js:283</x:v>
      </x:c>
      <x:c r="I11" s="4" t="str">
        <x:v>eb4cde1e41ffb10ff13b604c666891eb02ce2582d7b2d2a9e2d8998a6673efe0</x:v>
      </x:c>
    </x:row>
    <x:row r="12" ht="48" customHeight="1">
      <x:c r="A12" s="4" t="str">
        <x:v>ui/icons/lock</x:v>
      </x:c>
      <x:c r="B12" s="4" t="str">
        <x:v>assets/ui/icons/lock.png</x:v>
      </x:c>
      <x:c r="C12" s="4" t="str">
        <x:v>art-source/ui/Assets_icons.png</x:v>
      </x:c>
      <x:c r="D12" s="4" t="n">
        <x:v>1222</x:v>
      </x:c>
      <x:c r="E12" s="4" t="n">
        <x:v>67</x:v>
      </x:c>
      <x:c r="F12" s="4" t="n">
        <x:v>1300</x:v>
      </x:c>
      <x:c r="G12" s="4" t="n">
        <x:v>162</x:v>
      </x:c>
      <x:c r="H12" s="4" t="str">
        <x:v>game/atelier-ui.js:33; game/ascension-ui.js:77; game/app.js:102; game/app.js:108; game/app.js:131</x:v>
      </x:c>
      <x:c r="I12" s="4" t="str">
        <x:v>f107ead34f5debed1cd4a9c84ed455cce3f8923d8bde65646cdc8a301a1db440</x:v>
      </x:c>
    </x:row>
    <x:row r="13" ht="48" customHeight="1">
      <x:c r="A13" s="4" t="str">
        <x:v>ui/icons/online</x:v>
      </x:c>
      <x:c r="B13" s="4" t="str">
        <x:v>assets/ui/icons/online.png</x:v>
      </x:c>
      <x:c r="C13" s="4" t="str">
        <x:v>art-source/ui/Assets_icons.png</x:v>
      </x:c>
      <x:c r="D13" s="4" t="n">
        <x:v>1332</x:v>
      </x:c>
      <x:c r="E13" s="4" t="n">
        <x:v>83</x:v>
      </x:c>
      <x:c r="F13" s="4" t="n">
        <x:v>1408</x:v>
      </x:c>
      <x:c r="G13" s="4" t="n">
        <x:v>159</x:v>
      </x:c>
      <x:c r="H13" s="4" t="str">
        <x:v>No direct consumer; registered spare/dynamic-only</x:v>
      </x:c>
      <x:c r="I13" s="4" t="str">
        <x:v>67ebfd2857a8b2d0a9012eb9cee1c592e5a32d40311c12cc2b1242326cd294fc</x:v>
      </x:c>
    </x:row>
    <x:row r="14" ht="48" customHeight="1">
      <x:c r="A14" s="4" t="str">
        <x:v>ui/icons/clock</x:v>
      </x:c>
      <x:c r="B14" s="4" t="str">
        <x:v>assets/ui/icons/clock.png</x:v>
      </x:c>
      <x:c r="C14" s="4" t="str">
        <x:v>art-source/ui/Assets_icons.png</x:v>
      </x:c>
      <x:c r="D14" s="4" t="n">
        <x:v>29</x:v>
      </x:c>
      <x:c r="E14" s="4" t="n">
        <x:v>206</x:v>
      </x:c>
      <x:c r="F14" s="4" t="n">
        <x:v>120</x:v>
      </x:c>
      <x:c r="G14" s="4" t="n">
        <x:v>297</x:v>
      </x:c>
      <x:c r="H14" s="4" t="str">
        <x:v>game/atelier-ui.js:89; game/content.js:2; game/engine.js:88; game/render.js:212; game/render.js:270</x:v>
      </x:c>
      <x:c r="I14" s="4" t="str">
        <x:v>50efb8edef4f60a4800018fedc369124d756a0757783cbb663db2ec2f8a10a36</x:v>
      </x:c>
    </x:row>
    <x:row r="15" ht="48" customHeight="1">
      <x:c r="A15" s="4" t="str">
        <x:v>ui/icons/daily</x:v>
      </x:c>
      <x:c r="B15" s="4" t="str">
        <x:v>assets/ui/icons/daily.png</x:v>
      </x:c>
      <x:c r="C15" s="4" t="str">
        <x:v>art-source/ui/Assets_icons.png</x:v>
      </x:c>
      <x:c r="D15" s="4" t="n">
        <x:v>139</x:v>
      </x:c>
      <x:c r="E15" s="4" t="n">
        <x:v>207</x:v>
      </x:c>
      <x:c r="F15" s="4" t="n">
        <x:v>218</x:v>
      </x:c>
      <x:c r="G15" s="4" t="n">
        <x:v>294</x:v>
      </x:c>
      <x:c r="H15" s="4" t="str">
        <x:v>game/ascension-ui.js:86; game/ascension.js:35; game/upgrade-ui.js:9; game/app.js:157; game/app.js:183; game/progress.js:187</x:v>
      </x:c>
      <x:c r="I15" s="4" t="str">
        <x:v>549428dbea811813cb6c1dd67c4bd62f30fda73ae2397839116e1ff16bb32268</x:v>
      </x:c>
    </x:row>
    <x:row r="16" ht="48" customHeight="1">
      <x:c r="A16" s="4" t="str">
        <x:v>ui/icons/home</x:v>
      </x:c>
      <x:c r="B16" s="4" t="str">
        <x:v>assets/ui/icons/home.png</x:v>
      </x:c>
      <x:c r="C16" s="4" t="str">
        <x:v>art-source/ui/Assets_icons.png</x:v>
      </x:c>
      <x:c r="D16" s="4" t="n">
        <x:v>239</x:v>
      </x:c>
      <x:c r="E16" s="4" t="n">
        <x:v>205</x:v>
      </x:c>
      <x:c r="F16" s="4" t="n">
        <x:v>326</x:v>
      </x:c>
      <x:c r="G16" s="4" t="n">
        <x:v>290</x:v>
      </x:c>
      <x:c r="H16" s="4" t="str">
        <x:v>game/app.js:39; game/app.js:239; game/app.js:252; game/app.js:263; game/app.js:329; game/app.js:330</x:v>
      </x:c>
      <x:c r="I16" s="4" t="str">
        <x:v>05fac636a84c57a4ecbbe37c5f5d1b38aefa8388dfe9c6be114ff4060e3f6b94</x:v>
      </x:c>
    </x:row>
    <x:row r="17" ht="48" customHeight="1">
      <x:c r="A17" s="4" t="str">
        <x:v>ui/icons/worlds</x:v>
      </x:c>
      <x:c r="B17" s="4" t="str">
        <x:v>assets/ui/icons/worlds.png</x:v>
      </x:c>
      <x:c r="C17" s="4" t="str">
        <x:v>art-source/ui/Assets_icons.png</x:v>
      </x:c>
      <x:c r="D17" s="4" t="n">
        <x:v>343</x:v>
      </x:c>
      <x:c r="E17" s="4" t="n">
        <x:v>200</x:v>
      </x:c>
      <x:c r="F17" s="4" t="n">
        <x:v>442</x:v>
      </x:c>
      <x:c r="G17" s="4" t="n">
        <x:v>301</x:v>
      </x:c>
      <x:c r="H17" s="4" t="str">
        <x:v>game/index.html:25</x:v>
      </x:c>
      <x:c r="I17" s="4" t="str">
        <x:v>758bc8a533dc95300a02fc2084eefe6938326d2fc41c66dc04eead2e75a1c3fe</x:v>
      </x:c>
    </x:row>
    <x:row r="18" ht="48" customHeight="1">
      <x:c r="A18" s="4" t="str">
        <x:v>ui/icons/heroes</x:v>
      </x:c>
      <x:c r="B18" s="4" t="str">
        <x:v>assets/ui/icons/heroes.png</x:v>
      </x:c>
      <x:c r="C18" s="4" t="str">
        <x:v>art-source/ui/Assets_icons.png</x:v>
      </x:c>
      <x:c r="D18" s="4" t="n">
        <x:v>462</x:v>
      </x:c>
      <x:c r="E18" s="4" t="n">
        <x:v>198</x:v>
      </x:c>
      <x:c r="F18" s="4" t="n">
        <x:v>556</x:v>
      </x:c>
      <x:c r="G18" s="4" t="n">
        <x:v>297</x:v>
      </x:c>
      <x:c r="H18" s="4" t="str">
        <x:v>game/atelier-ui.js:25; game/upgrade-ui.js:22; game/content.js:2; game/app.js:92; game/app.js:93; game/app.js:536</x:v>
      </x:c>
      <x:c r="I18" s="4" t="str">
        <x:v>8af71c5ce8e77565fc05b683bca934822a3d87c1194175201c563dac18e7aa5a</x:v>
      </x:c>
    </x:row>
    <x:row r="19" ht="48" customHeight="1">
      <x:c r="A19" s="4" t="str">
        <x:v>ui/icons/pets</x:v>
      </x:c>
      <x:c r="B19" s="4" t="str">
        <x:v>assets/ui/icons/pets.png</x:v>
      </x:c>
      <x:c r="C19" s="4" t="str">
        <x:v>art-source/ui/Assets_icons.png</x:v>
      </x:c>
      <x:c r="D19" s="4" t="n">
        <x:v>577</x:v>
      </x:c>
      <x:c r="E19" s="4" t="n">
        <x:v>203</x:v>
      </x:c>
      <x:c r="F19" s="4" t="n">
        <x:v>678</x:v>
      </x:c>
      <x:c r="G19" s="4" t="n">
        <x:v>292</x:v>
      </x:c>
      <x:c r="H19" s="4" t="str">
        <x:v>game/atelier-ui.js:64; game/content.js:2; game/app.js:94; game/app.js:538; game/index.html:25</x:v>
      </x:c>
      <x:c r="I19" s="4" t="str">
        <x:v>59c8d06005e70befa94f907cebfb7ab635c45f1ee405a81684683bbb85c50c96</x:v>
      </x:c>
    </x:row>
    <x:row r="20" ht="48" customHeight="1">
      <x:c r="A20" s="4" t="str">
        <x:v>ui/icons/shop</x:v>
      </x:c>
      <x:c r="B20" s="4" t="str">
        <x:v>assets/ui/icons/shop.png</x:v>
      </x:c>
      <x:c r="C20" s="4" t="str">
        <x:v>art-source/ui/Assets_icons.png</x:v>
      </x:c>
      <x:c r="D20" s="4" t="n">
        <x:v>698</x:v>
      </x:c>
      <x:c r="E20" s="4" t="n">
        <x:v>209</x:v>
      </x:c>
      <x:c r="F20" s="4" t="n">
        <x:v>800</x:v>
      </x:c>
      <x:c r="G20" s="4" t="n">
        <x:v>296</x:v>
      </x:c>
      <x:c r="H20" s="4" t="str">
        <x:v>game/app.js:282; game/index.html:7; game/index.html:25</x:v>
      </x:c>
      <x:c r="I20" s="4" t="str">
        <x:v>ee7f131eb3d8ab317a7fa68287e36f0bf2f8a71526456c6a6a599df89b843685</x:v>
      </x:c>
    </x:row>
    <x:row r="21" ht="48" customHeight="1">
      <x:c r="A21" s="4" t="str">
        <x:v>ui/icons/missions</x:v>
      </x:c>
      <x:c r="B21" s="4" t="str">
        <x:v>assets/ui/icons/missions.png</x:v>
      </x:c>
      <x:c r="C21" s="4" t="str">
        <x:v>art-source/ui/Assets_icons.png</x:v>
      </x:c>
      <x:c r="D21" s="4" t="n">
        <x:v>822</x:v>
      </x:c>
      <x:c r="E21" s="4" t="n">
        <x:v>206</x:v>
      </x:c>
      <x:c r="F21" s="4" t="n">
        <x:v>906</x:v>
      </x:c>
      <x:c r="G21" s="4" t="n">
        <x:v>298</x:v>
      </x:c>
      <x:c r="H21" s="4" t="str">
        <x:v>game/content.js:2; game/app.js:95; game/app.js:148; game/index.html:13; game/index.html:25</x:v>
      </x:c>
      <x:c r="I21" s="4" t="str">
        <x:v>8afcf03679880a57648615db3eeddf1554ee333ac1d3a9bfd8a17a8c558a11cf</x:v>
      </x:c>
    </x:row>
    <x:row r="22" ht="48" customHeight="1">
      <x:c r="A22" s="4" t="str">
        <x:v>ui/icons/records</x:v>
      </x:c>
      <x:c r="B22" s="4" t="str">
        <x:v>assets/ui/icons/records.png</x:v>
      </x:c>
      <x:c r="C22" s="4" t="str">
        <x:v>art-source/ui/Assets_icons.png</x:v>
      </x:c>
      <x:c r="D22" s="4" t="n">
        <x:v>936</x:v>
      </x:c>
      <x:c r="E22" s="4" t="n">
        <x:v>208</x:v>
      </x:c>
      <x:c r="F22" s="4" t="n">
        <x:v>1026</x:v>
      </x:c>
      <x:c r="G22" s="4" t="n">
        <x:v>294</x:v>
      </x:c>
      <x:c r="H22" s="4" t="str">
        <x:v>game/upgrade-ui.js:25; game/app.js:96; game/index.html:25</x:v>
      </x:c>
      <x:c r="I22" s="4" t="str">
        <x:v>0beabdd8ad3b496b32f8ee380a27f74e75f39fcabe2cc4e90fef2b18cfca4294</x:v>
      </x:c>
    </x:row>
    <x:row r="23" ht="48" customHeight="1">
      <x:c r="A23" s="4" t="str">
        <x:v>ui/icons/profile</x:v>
      </x:c>
      <x:c r="B23" s="4" t="str">
        <x:v>assets/ui/icons/profile.png</x:v>
      </x:c>
      <x:c r="C23" s="4" t="str">
        <x:v>art-source/ui/Assets_icons.png</x:v>
      </x:c>
      <x:c r="D23" s="4" t="n">
        <x:v>1061</x:v>
      </x:c>
      <x:c r="E23" s="4" t="n">
        <x:v>201</x:v>
      </x:c>
      <x:c r="F23" s="4" t="n">
        <x:v>1153</x:v>
      </x:c>
      <x:c r="G23" s="4" t="n">
        <x:v>295</x:v>
      </x:c>
      <x:c r="H23" s="4" t="str">
        <x:v>game/atelier-ui.js:15; game/app.js:96; game/app.js:118; game/app.js:354; game/app.js:355; game/app.js:509</x:v>
      </x:c>
      <x:c r="I23" s="4" t="str">
        <x:v>5a6331457275a30cd753861a331f7819d53526bd3ae72755cddc2ac7e702a216</x:v>
      </x:c>
    </x:row>
    <x:row r="24" ht="48" customHeight="1">
      <x:c r="A24" s="4" t="str">
        <x:v>ui/icons/swords</x:v>
      </x:c>
      <x:c r="B24" s="4" t="str">
        <x:v>assets/ui/icons/swords.png</x:v>
      </x:c>
      <x:c r="C24" s="4" t="str">
        <x:v>art-source/ui/Assets_icons.png</x:v>
      </x:c>
      <x:c r="D24" s="4" t="n">
        <x:v>1181</x:v>
      </x:c>
      <x:c r="E24" s="4" t="n">
        <x:v>197</x:v>
      </x:c>
      <x:c r="F24" s="4" t="n">
        <x:v>1289</x:v>
      </x:c>
      <x:c r="G24" s="4" t="n">
        <x:v>306</x:v>
      </x:c>
      <x:c r="H24" s="4" t="str">
        <x:v>No direct consumer; registered spare/dynamic-only</x:v>
      </x:c>
      <x:c r="I24" s="4" t="str">
        <x:v>a16dc2d8416754026636795cc07085e26eda7b928a66c23d6805816cb71f8768</x:v>
      </x:c>
    </x:row>
    <x:row r="25" ht="48" customHeight="1">
      <x:c r="A25" s="4" t="str">
        <x:v>ui/icons/boss</x:v>
      </x:c>
      <x:c r="B25" s="4" t="str">
        <x:v>assets/ui/icons/boss.png</x:v>
      </x:c>
      <x:c r="C25" s="4" t="str">
        <x:v>art-source/ui/Assets_icons.png</x:v>
      </x:c>
      <x:c r="D25" s="4" t="n">
        <x:v>1314</x:v>
      </x:c>
      <x:c r="E25" s="4" t="n">
        <x:v>187</x:v>
      </x:c>
      <x:c r="F25" s="4" t="n">
        <x:v>1416</x:v>
      </x:c>
      <x:c r="G25" s="4" t="n">
        <x:v>309</x:v>
      </x:c>
      <x:c r="H25" s="4" t="str">
        <x:v>game/audio.js:93; game/ascension-ui.js:82; game/ascension-ui.js:86; game/ascension-ui.js:137; game/ascension.js:35; game/ascension.js:49</x:v>
      </x:c>
      <x:c r="I25" s="4" t="str">
        <x:v>16ba7290fa189674f7189c0f7a961cb8da6f663e0c64f8398759a3ee847bc4c7</x:v>
      </x:c>
    </x:row>
    <x:row r="26" ht="48" customHeight="1">
      <x:c r="A26" s="4" t="str">
        <x:v>ui/icons/compass</x:v>
      </x:c>
      <x:c r="B26" s="4" t="str">
        <x:v>assets/ui/icons/compass.png</x:v>
      </x:c>
      <x:c r="C26" s="4" t="str">
        <x:v>art-source/ui/Assets_icons.png</x:v>
      </x:c>
      <x:c r="D26" s="4" t="n">
        <x:v>23</x:v>
      </x:c>
      <x:c r="E26" s="4" t="n">
        <x:v>333</x:v>
      </x:c>
      <x:c r="F26" s="4" t="n">
        <x:v>135</x:v>
      </x:c>
      <x:c r="G26" s="4" t="n">
        <x:v>450</x:v>
      </x:c>
      <x:c r="H26" s="4" t="str">
        <x:v>game/atelier-ui.js:89</x:v>
      </x:c>
      <x:c r="I26" s="4" t="str">
        <x:v>c6618a31aa4b6c5db039560727495ed6922bd6c8d15b744b2eeddeef789ba07a</x:v>
      </x:c>
    </x:row>
    <x:row r="27" ht="48" customHeight="1">
      <x:c r="A27" s="4" t="str">
        <x:v>ui/icons/map</x:v>
      </x:c>
      <x:c r="B27" s="4" t="str">
        <x:v>assets/ui/icons/map.png</x:v>
      </x:c>
      <x:c r="C27" s="4" t="str">
        <x:v>art-source/ui/Assets_icons.png</x:v>
      </x:c>
      <x:c r="D27" s="4" t="n">
        <x:v>146</x:v>
      </x:c>
      <x:c r="E27" s="4" t="n">
        <x:v>329</x:v>
      </x:c>
      <x:c r="F27" s="4" t="n">
        <x:v>264</x:v>
      </x:c>
      <x:c r="G27" s="4" t="n">
        <x:v>439</x:v>
      </x:c>
      <x:c r="H27" s="4" t="str">
        <x:v>game/data.js:20</x:v>
      </x:c>
      <x:c r="I27" s="4" t="str">
        <x:v>3a2fe05e3463b3a04e633de7fc6903fc2f26355e6bae472ab18cc28ba9baff13</x:v>
      </x:c>
    </x:row>
    <x:row r="28" ht="48" customHeight="1">
      <x:c r="A28" s="4" t="str">
        <x:v>ui/icons/gamepad</x:v>
      </x:c>
      <x:c r="B28" s="4" t="str">
        <x:v>assets/ui/icons/gamepad.png</x:v>
      </x:c>
      <x:c r="C28" s="4" t="str">
        <x:v>art-source/ui/Assets_icons.png</x:v>
      </x:c>
      <x:c r="D28" s="4" t="n">
        <x:v>280</x:v>
      </x:c>
      <x:c r="E28" s="4" t="n">
        <x:v>348</x:v>
      </x:c>
      <x:c r="F28" s="4" t="n">
        <x:v>380</x:v>
      </x:c>
      <x:c r="G28" s="4" t="n">
        <x:v>425</x:v>
      </x:c>
      <x:c r="H28" s="4" t="str">
        <x:v>game/app.js:106; game/app.js:131; game/app.js:282; game/index.html:16</x:v>
      </x:c>
      <x:c r="I28" s="4" t="str">
        <x:v>605d402200f2e30ab98ec1800b3a41a6b5ba6e904a180b2828ec8efdd6e49f61</x:v>
      </x:c>
    </x:row>
    <x:row r="29" ht="48" customHeight="1">
      <x:c r="A29" s="4" t="str">
        <x:v>ui/icons/controls</x:v>
      </x:c>
      <x:c r="B29" s="4" t="str">
        <x:v>assets/ui/icons/controls.png</x:v>
      </x:c>
      <x:c r="C29" s="4" t="str">
        <x:v>art-source/ui/Assets_icons.png</x:v>
      </x:c>
      <x:c r="D29" s="4" t="n">
        <x:v>396</x:v>
      </x:c>
      <x:c r="E29" s="4" t="n">
        <x:v>347</x:v>
      </x:c>
      <x:c r="F29" s="4" t="n">
        <x:v>477</x:v>
      </x:c>
      <x:c r="G29" s="4" t="n">
        <x:v>428</x:v>
      </x:c>
      <x:c r="H29" s="4" t="str">
        <x:v>No direct consumer; registered spare/dynamic-only</x:v>
      </x:c>
      <x:c r="I29" s="4" t="str">
        <x:v>f3ca879ae4c204b835dbfe24985f2b2e20eb9390518d10b1ed064d299fc31ecb</x:v>
      </x:c>
    </x:row>
    <x:row r="30" ht="48" customHeight="1">
      <x:c r="A30" s="4" t="str">
        <x:v>ui/icons/flag</x:v>
      </x:c>
      <x:c r="B30" s="4" t="str">
        <x:v>assets/ui/icons/flag.png</x:v>
      </x:c>
      <x:c r="C30" s="4" t="str">
        <x:v>art-source/ui/Assets_icons.png</x:v>
      </x:c>
      <x:c r="D30" s="4" t="n">
        <x:v>594</x:v>
      </x:c>
      <x:c r="E30" s="4" t="n">
        <x:v>325</x:v>
      </x:c>
      <x:c r="F30" s="4" t="n">
        <x:v>702</x:v>
      </x:c>
      <x:c r="G30" s="4" t="n">
        <x:v>452</x:v>
      </x:c>
      <x:c r="H30" s="4" t="str">
        <x:v>game/atelier-ui.js:89; game/data.js:14; game/data.js:30; game/index.html:10</x:v>
      </x:c>
      <x:c r="I30" s="4" t="str">
        <x:v>a6048c6c9506782057f01bd414a5b2b94632668f031894b521f72f8199251c43</x:v>
      </x:c>
    </x:row>
    <x:row r="31" ht="48" customHeight="1">
      <x:c r="A31" s="4" t="str">
        <x:v>ui/icons/skull</x:v>
      </x:c>
      <x:c r="B31" s="4" t="str">
        <x:v>assets/ui/icons/skull.png</x:v>
      </x:c>
      <x:c r="C31" s="4" t="str">
        <x:v>art-source/ui/Assets_icons.png</x:v>
      </x:c>
      <x:c r="D31" s="4" t="n">
        <x:v>932</x:v>
      </x:c>
      <x:c r="E31" s="4" t="n">
        <x:v>336</x:v>
      </x:c>
      <x:c r="F31" s="4" t="n">
        <x:v>1015</x:v>
      </x:c>
      <x:c r="G31" s="4" t="n">
        <x:v>427</x:v>
      </x:c>
      <x:c r="H31" s="4" t="str">
        <x:v>game/app.js:156; game/app.js:282; game/data.js:16; game/data.js:23; game/data.js:31; game/data.js:41</x:v>
      </x:c>
      <x:c r="I31" s="4" t="str">
        <x:v>2d0bbb7bd172d07ef2f3055ad4c6dbb5f33615e77f56bc5dc2e8d9bc73a0cf90</x:v>
      </x:c>
    </x:row>
    <x:row r="32" ht="48" customHeight="1">
      <x:c r="A32" s="4" t="str">
        <x:v>ui/icons/touch</x:v>
      </x:c>
      <x:c r="B32" s="4" t="str">
        <x:v>assets/ui/icons/touch.png</x:v>
      </x:c>
      <x:c r="C32" s="4" t="str">
        <x:v>art-source/ui/Assets_icons.png</x:v>
      </x:c>
      <x:c r="D32" s="4" t="n">
        <x:v>1039</x:v>
      </x:c>
      <x:c r="E32" s="4" t="n">
        <x:v>329</x:v>
      </x:c>
      <x:c r="F32" s="4" t="n">
        <x:v>1152</x:v>
      </x:c>
      <x:c r="G32" s="4" t="n">
        <x:v>447</x:v>
      </x:c>
      <x:c r="H32" s="4" t="str">
        <x:v>game/app.js:282</x:v>
      </x:c>
      <x:c r="I32" s="4" t="str">
        <x:v>f2e0c23fc516fe3fc49ac71c4a0fa20f32e95cb8afa9ac3f0cf5236babf3f4d8</x:v>
      </x:c>
    </x:row>
    <x:row r="33" ht="48" customHeight="1">
      <x:c r="A33" s="4" t="str">
        <x:v>ui/icons/volume</x:v>
      </x:c>
      <x:c r="B33" s="4" t="str">
        <x:v>assets/ui/icons/volume.png</x:v>
      </x:c>
      <x:c r="C33" s="4" t="str">
        <x:v>art-source/ui/Assets_icons.png</x:v>
      </x:c>
      <x:c r="D33" s="4" t="n">
        <x:v>1183</x:v>
      </x:c>
      <x:c r="E33" s="4" t="n">
        <x:v>346</x:v>
      </x:c>
      <x:c r="F33" s="4" t="n">
        <x:v>1293</x:v>
      </x:c>
      <x:c r="G33" s="4" t="n">
        <x:v>435</x:v>
      </x:c>
      <x:c r="H33" s="4" t="str">
        <x:v>game/app.js:282</x:v>
      </x:c>
      <x:c r="I33" s="4" t="str">
        <x:v>9a1ed44b2c79cd9713848fa17bd8bdf5ba1e5bf9cfb14c3dea003c54fd4515d8</x:v>
      </x:c>
    </x:row>
    <x:row r="34" ht="48" customHeight="1">
      <x:c r="A34" s="4" t="str">
        <x:v>ui/icons/music</x:v>
      </x:c>
      <x:c r="B34" s="4" t="str">
        <x:v>assets/ui/icons/music.png</x:v>
      </x:c>
      <x:c r="C34" s="4" t="str">
        <x:v>art-source/ui/Assets_icons.png</x:v>
      </x:c>
      <x:c r="D34" s="4" t="n">
        <x:v>1326</x:v>
      </x:c>
      <x:c r="E34" s="4" t="n">
        <x:v>346</x:v>
      </x:c>
      <x:c r="F34" s="4" t="n">
        <x:v>1405</x:v>
      </x:c>
      <x:c r="G34" s="4" t="n">
        <x:v>437</x:v>
      </x:c>
      <x:c r="H34" s="4" t="str">
        <x:v>game/atelier-ui.js:70; game/content.js:2; game/app.js:282; game/progress.js:43</x:v>
      </x:c>
      <x:c r="I34" s="4" t="str">
        <x:v>5dbc65c5866d97550e3a024b36d059062bcd3d3732fd756d395f6bd2afd56050</x:v>
      </x:c>
    </x:row>
    <x:row r="35" ht="48" customHeight="1">
      <x:c r="A35" s="4" t="str">
        <x:v>ui/icons/speed</x:v>
      </x:c>
      <x:c r="B35" s="4" t="str">
        <x:v>assets/ui/icons/speed.png</x:v>
      </x:c>
      <x:c r="C35" s="4" t="str">
        <x:v>art-source/ui/Assets_icons.png</x:v>
      </x:c>
      <x:c r="D35" s="4" t="n">
        <x:v>25</x:v>
      </x:c>
      <x:c r="E35" s="4" t="n">
        <x:v>475</x:v>
      </x:c>
      <x:c r="F35" s="4" t="n">
        <x:v>119</x:v>
      </x:c>
      <x:c r="G35" s="4" t="n">
        <x:v>570</x:v>
      </x:c>
      <x:c r="H35" s="4" t="str">
        <x:v>game/content.js:2; game/app.js:282; game/index.html:27</x:v>
      </x:c>
      <x:c r="I35" s="4" t="str">
        <x:v>a3a60efd22862eb66802148d56a08ee0d977268f32803bfebde202eee367bb0c</x:v>
      </x:c>
    </x:row>
    <x:row r="36" ht="48" customHeight="1">
      <x:c r="A36" s="4" t="str">
        <x:v>ui/icons/palette</x:v>
      </x:c>
      <x:c r="B36" s="4" t="str">
        <x:v>assets/ui/icons/palette.png</x:v>
      </x:c>
      <x:c r="C36" s="4" t="str">
        <x:v>art-source/ui/Assets_icons.png</x:v>
      </x:c>
      <x:c r="D36" s="4" t="n">
        <x:v>147</x:v>
      </x:c>
      <x:c r="E36" s="4" t="n">
        <x:v>473</x:v>
      </x:c>
      <x:c r="F36" s="4" t="n">
        <x:v>255</x:v>
      </x:c>
      <x:c r="G36" s="4" t="n">
        <x:v>571</x:v>
      </x:c>
      <x:c r="H36" s="4" t="str">
        <x:v>game/atelier-ui.js:33; game/app.js:282</x:v>
      </x:c>
      <x:c r="I36" s="4" t="str">
        <x:v>5c801c4cd5eceb791164d29dd5973a3f14291b574ad4ad6e3437aa3b01a942cb</x:v>
      </x:c>
    </x:row>
    <x:row r="37" ht="48" customHeight="1">
      <x:c r="A37" s="4" t="str">
        <x:v>ui/icons/power</x:v>
      </x:c>
      <x:c r="B37" s="4" t="str">
        <x:v>assets/ui/icons/power.png</x:v>
      </x:c>
      <x:c r="C37" s="4" t="str">
        <x:v>art-source/ui/Assets_icons.png</x:v>
      </x:c>
      <x:c r="D37" s="4" t="n">
        <x:v>281</x:v>
      </x:c>
      <x:c r="E37" s="4" t="n">
        <x:v>469</x:v>
      </x:c>
      <x:c r="F37" s="4" t="n">
        <x:v>362</x:v>
      </x:c>
      <x:c r="G37" s="4" t="n">
        <x:v>573</x:v>
      </x:c>
      <x:c r="H37" s="4" t="str">
        <x:v>game/audio.js:66; game/audio.js:71; game/combat-profiles.js:10; game/ascension.js:15; game/content.js:2; game/engine.js:139</x:v>
      </x:c>
      <x:c r="I37" s="4" t="str">
        <x:v>5605de7a84710cf02c51a5226258cdb484390ee3481c63566c29d412a81ec72a</x:v>
      </x:c>
    </x:row>
    <x:row r="38" ht="48" customHeight="1">
      <x:c r="A38" s="4" t="str">
        <x:v>ui/icons/sword</x:v>
      </x:c>
      <x:c r="B38" s="4" t="str">
        <x:v>assets/ui/icons/sword.png</x:v>
      </x:c>
      <x:c r="C38" s="4" t="str">
        <x:v>art-source/ui/Assets_icons.png</x:v>
      </x:c>
      <x:c r="D38" s="4" t="n">
        <x:v>388</x:v>
      </x:c>
      <x:c r="E38" s="4" t="n">
        <x:v>472</x:v>
      </x:c>
      <x:c r="F38" s="4" t="n">
        <x:v>479</x:v>
      </x:c>
      <x:c r="G38" s="4" t="n">
        <x:v>566</x:v>
      </x:c>
      <x:c r="H38" s="4" t="str">
        <x:v>game/atelier-ui.js:33; game/ascension-ui.js:14; game/ascension.js:16; game/content.js:2; game/index.html:27</x:v>
      </x:c>
      <x:c r="I38" s="4" t="str">
        <x:v>d255f66a07133fec3a7c5270bb8ccca63e7f394c11fdfba2aee9832e8a4349f7</x:v>
      </x:c>
    </x:row>
    <x:row r="39" ht="48" customHeight="1">
      <x:c r="A39" s="4" t="str">
        <x:v>ui/icons/gold-star</x:v>
      </x:c>
      <x:c r="B39" s="4" t="str">
        <x:v>assets/ui/icons/gold-star.png</x:v>
      </x:c>
      <x:c r="C39" s="4" t="str">
        <x:v>art-source/ui/Assets_icons.png</x:v>
      </x:c>
      <x:c r="D39" s="4" t="n">
        <x:v>504</x:v>
      </x:c>
      <x:c r="E39" s="4" t="n">
        <x:v>472</x:v>
      </x:c>
      <x:c r="F39" s="4" t="n">
        <x:v>593</x:v>
      </x:c>
      <x:c r="G39" s="4" t="n">
        <x:v>560</x:v>
      </x:c>
      <x:c r="H39" s="4" t="str">
        <x:v>game/content.js:2; game/app.js:102; game/app.js:108; game/app.js:158; game/app.js:226; game/app.js:263</x:v>
      </x:c>
      <x:c r="I39" s="4" t="str">
        <x:v>e4208ce94f530816094d9ab59b912b646e0f7557b568e7412ba1206ccb2ea0d9</x:v>
      </x:c>
    </x:row>
    <x:row r="40" ht="48" customHeight="1">
      <x:c r="A40" s="4" t="str">
        <x:v>ui/icons/magic</x:v>
      </x:c>
      <x:c r="B40" s="4" t="str">
        <x:v>assets/ui/icons/magic.png</x:v>
      </x:c>
      <x:c r="C40" s="4" t="str">
        <x:v>art-source/ui/Assets_icons.png</x:v>
      </x:c>
      <x:c r="D40" s="4" t="n">
        <x:v>612</x:v>
      </x:c>
      <x:c r="E40" s="4" t="n">
        <x:v>475</x:v>
      </x:c>
      <x:c r="F40" s="4" t="n">
        <x:v>700</x:v>
      </x:c>
      <x:c r="G40" s="4" t="n">
        <x:v>568</x:v>
      </x:c>
      <x:c r="H40" s="4" t="str">
        <x:v>game/ascension.js:17; game/content.js:2; game/app.js:225</x:v>
      </x:c>
      <x:c r="I40" s="4" t="str">
        <x:v>5a43e2469e964f4e0386664136457beac2f7839c9ee47fe814013c1b9034d73b</x:v>
      </x:c>
    </x:row>
    <x:row r="41" ht="48" customHeight="1">
      <x:c r="A41" s="4" t="str">
        <x:v>ui/icons/stamina</x:v>
      </x:c>
      <x:c r="B41" s="4" t="str">
        <x:v>assets/ui/icons/stamina.png</x:v>
      </x:c>
      <x:c r="C41" s="4" t="str">
        <x:v>art-source/ui/Assets_icons.png</x:v>
      </x:c>
      <x:c r="D41" s="4" t="n">
        <x:v>717</x:v>
      </x:c>
      <x:c r="E41" s="4" t="n">
        <x:v>469</x:v>
      </x:c>
      <x:c r="F41" s="4" t="n">
        <x:v>797</x:v>
      </x:c>
      <x:c r="G41" s="4" t="n">
        <x:v>567</x:v>
      </x:c>
      <x:c r="H41" s="4" t="str">
        <x:v>game/content.js:2; game/app.js:218</x:v>
      </x:c>
      <x:c r="I41" s="4" t="str">
        <x:v>72178a68b6d53e7e3c8f36a1b29cddfc9a0a3971bc4d6e82946b0131516fd640</x:v>
      </x:c>
    </x:row>
    <x:row r="42" ht="48" customHeight="1">
      <x:c r="A42" s="4" t="str">
        <x:v>ui/icons/bow</x:v>
      </x:c>
      <x:c r="B42" s="4" t="str">
        <x:v>assets/ui/icons/bow.png</x:v>
      </x:c>
      <x:c r="C42" s="4" t="str">
        <x:v>art-source/ui/Assets_icons.png</x:v>
      </x:c>
      <x:c r="D42" s="4" t="n">
        <x:v>821</x:v>
      </x:c>
      <x:c r="E42" s="4" t="n">
        <x:v>471</x:v>
      </x:c>
      <x:c r="F42" s="4" t="n">
        <x:v>917</x:v>
      </x:c>
      <x:c r="G42" s="4" t="n">
        <x:v>569</x:v>
      </x:c>
      <x:c r="H42" s="4" t="str">
        <x:v>game/combat-profiles.js:11; game/weapon-art.js:15; game/weapon-art.js:67; game/engine.js:1168; game/equipment.js:12</x:v>
      </x:c>
      <x:c r="I42" s="4" t="str">
        <x:v>b538f6a788b1b439796ecb4cd4dd7f7da97b7ac41fed44f69c33969b554fb5dc</x:v>
      </x:c>
    </x:row>
    <x:row r="43" ht="48" customHeight="1">
      <x:c r="A43" s="4" t="str">
        <x:v>ui/icons/sun</x:v>
      </x:c>
      <x:c r="B43" s="4" t="str">
        <x:v>assets/ui/icons/sun.png</x:v>
      </x:c>
      <x:c r="C43" s="4" t="str">
        <x:v>art-source/ui/Assets_icons.png</x:v>
      </x:c>
      <x:c r="D43" s="4" t="n">
        <x:v>937</x:v>
      </x:c>
      <x:c r="E43" s="4" t="n">
        <x:v>468</x:v>
      </x:c>
      <x:c r="F43" s="4" t="n">
        <x:v>1037</x:v>
      </x:c>
      <x:c r="G43" s="4" t="n">
        <x:v>572</x:v>
      </x:c>
      <x:c r="H43" s="4" t="str">
        <x:v>No direct consumer; registered spare/dynamic-only</x:v>
      </x:c>
      <x:c r="I43" s="4" t="str">
        <x:v>a69bd52f2c9d1ce6aa597a200cb306b61c561c77f52bb71b530a9e4a347bacaf</x:v>
      </x:c>
    </x:row>
    <x:row r="44" ht="48" customHeight="1">
      <x:c r="A44" s="4" t="str">
        <x:v>ui/icons/frost</x:v>
      </x:c>
      <x:c r="B44" s="4" t="str">
        <x:v>assets/ui/icons/frost.png</x:v>
      </x:c>
      <x:c r="C44" s="4" t="str">
        <x:v>art-source/ui/Assets_icons.png</x:v>
      </x:c>
      <x:c r="D44" s="4" t="n">
        <x:v>1063</x:v>
      </x:c>
      <x:c r="E44" s="4" t="n">
        <x:v>467</x:v>
      </x:c>
      <x:c r="F44" s="4" t="n">
        <x:v>1155</x:v>
      </x:c>
      <x:c r="G44" s="4" t="n">
        <x:v>572</x:v>
      </x:c>
      <x:c r="H44" s="4" t="str">
        <x:v>game/ascension-ui.js:124; game/ascension.js:11; game/ascension.js:34; game/arena.js:6; game/content.js:2; game/cosmetics.js:3</x:v>
      </x:c>
      <x:c r="I44" s="4" t="str">
        <x:v>9aa02726d4dd415116f035e517d75f1cfb909a46569a95fa70486a4babddb9e6</x:v>
      </x:c>
    </x:row>
    <x:row r="45" ht="48" customHeight="1">
      <x:c r="A45" s="4" t="str">
        <x:v>ui/icons/wind</x:v>
      </x:c>
      <x:c r="B45" s="4" t="str">
        <x:v>assets/ui/icons/wind.png</x:v>
      </x:c>
      <x:c r="C45" s="4" t="str">
        <x:v>art-source/ui/Assets_icons.png</x:v>
      </x:c>
      <x:c r="D45" s="4" t="n">
        <x:v>1300</x:v>
      </x:c>
      <x:c r="E45" s="4" t="n">
        <x:v>467</x:v>
      </x:c>
      <x:c r="F45" s="4" t="n">
        <x:v>1416</x:v>
      </x:c>
      <x:c r="G45" s="4" t="n">
        <x:v>568</x:v>
      </x:c>
      <x:c r="H45" s="4" t="str">
        <x:v>game/world-physics.js:22; game/world-physics.js:27; game/content.js:2; game/index.html:27</x:v>
      </x:c>
      <x:c r="I45" s="4" t="str">
        <x:v>285a5bdf325ef0cd7d2b5367cb2c77094f79917fdb6c6a4dd2243889d8a56757</x:v>
      </x:c>
    </x:row>
    <x:row r="46" ht="48" customHeight="1">
      <x:c r="A46" s="4" t="str">
        <x:v>ui/icons/crown</x:v>
      </x:c>
      <x:c r="B46" s="4" t="str">
        <x:v>assets/ui/icons/crown.png</x:v>
      </x:c>
      <x:c r="C46" s="4" t="str">
        <x:v>art-source/ui/Assets_icons.png</x:v>
      </x:c>
      <x:c r="D46" s="4" t="n">
        <x:v>31</x:v>
      </x:c>
      <x:c r="E46" s="4" t="n">
        <x:v>604</x:v>
      </x:c>
      <x:c r="F46" s="4" t="n">
        <x:v>134</x:v>
      </x:c>
      <x:c r="G46" s="4" t="n">
        <x:v>694</x:v>
      </x:c>
      <x:c r="H46" s="4" t="str">
        <x:v>game/atelier-ui.js:64; game/content.js:2; game/app.js:226</x:v>
      </x:c>
      <x:c r="I46" s="4" t="str">
        <x:v>c4ffb73c0ace7304b6a2f5b243c0db912102f3c7e44fa5f0adbb16536b72d4d1</x:v>
      </x:c>
    </x:row>
    <x:row r="47" ht="48" customHeight="1">
      <x:c r="A47" s="4" t="str">
        <x:v>ui/icons/earned-star</x:v>
      </x:c>
      <x:c r="B47" s="4" t="str">
        <x:v>assets/ui/icons/earned-star.png</x:v>
      </x:c>
      <x:c r="C47" s="4" t="str">
        <x:v>art-source/ui/Assets_icons.png</x:v>
      </x:c>
      <x:c r="D47" s="4" t="n">
        <x:v>898</x:v>
      </x:c>
      <x:c r="E47" s="4" t="n">
        <x:v>607</x:v>
      </x:c>
      <x:c r="F47" s="4" t="n">
        <x:v>991</x:v>
      </x:c>
      <x:c r="G47" s="4" t="n">
        <x:v>698</x:v>
      </x:c>
      <x:c r="H47" s="4" t="str">
        <x:v>No direct consumer; registered spare/dynamic-only</x:v>
      </x:c>
      <x:c r="I47" s="4" t="str">
        <x:v>b2d4241cfc07e41c64c39145057b6c5f5f88d723bf158712ce4089def984b4d6</x:v>
      </x:c>
    </x:row>
    <x:row r="48" ht="48" customHeight="1">
      <x:c r="A48" s="4" t="str">
        <x:v>ui/icons/empty-star</x:v>
      </x:c>
      <x:c r="B48" s="4" t="str">
        <x:v>assets/ui/icons/empty-star.png</x:v>
      </x:c>
      <x:c r="C48" s="4" t="str">
        <x:v>art-source/ui/Assets_icons.png</x:v>
      </x:c>
      <x:c r="D48" s="4" t="n">
        <x:v>1012</x:v>
      </x:c>
      <x:c r="E48" s="4" t="n">
        <x:v>609</x:v>
      </x:c>
      <x:c r="F48" s="4" t="n">
        <x:v>1104</x:v>
      </x:c>
      <x:c r="G48" s="4" t="n">
        <x:v>697</x:v>
      </x:c>
      <x:c r="H48" s="4" t="str">
        <x:v>No direct consumer; registered spare/dynamic-only</x:v>
      </x:c>
      <x:c r="I48" s="4" t="str">
        <x:v>2268c2a7c7194e49d3b59a5804800df28c4119fe540e5883b2428b8340f9c829</x:v>
      </x:c>
    </x:row>
    <x:row r="49" ht="48" customHeight="1">
      <x:c r="A49" s="4" t="str">
        <x:v>ui/icons/medal-gold</x:v>
      </x:c>
      <x:c r="B49" s="4" t="str">
        <x:v>assets/ui/icons/medal-gold.png</x:v>
      </x:c>
      <x:c r="C49" s="4" t="str">
        <x:v>art-source/ui/Assets_icons.png</x:v>
      </x:c>
      <x:c r="D49" s="4" t="n">
        <x:v>26</x:v>
      </x:c>
      <x:c r="E49" s="4" t="n">
        <x:v>744</x:v>
      </x:c>
      <x:c r="F49" s="4" t="n">
        <x:v>136</x:v>
      </x:c>
      <x:c r="G49" s="4" t="n">
        <x:v>855</x:v>
      </x:c>
      <x:c r="H49" s="4" t="str">
        <x:v>game/atelier-ui.js:64</x:v>
      </x:c>
      <x:c r="I49" s="4" t="str">
        <x:v>96d8d663da6fa001f999ead8c6a7d32a353c77b7c40992577ab6a38788e4dd37</x:v>
      </x:c>
    </x:row>
    <x:row r="50" ht="48" customHeight="1">
      <x:c r="A50" s="4" t="str">
        <x:v>ui/icons/medal-silver</x:v>
      </x:c>
      <x:c r="B50" s="4" t="str">
        <x:v>assets/ui/icons/medal-silver.png</x:v>
      </x:c>
      <x:c r="C50" s="4" t="str">
        <x:v>art-source/ui/Assets_icons.png</x:v>
      </x:c>
      <x:c r="D50" s="4" t="n">
        <x:v>143</x:v>
      </x:c>
      <x:c r="E50" s="4" t="n">
        <x:v>744</x:v>
      </x:c>
      <x:c r="F50" s="4" t="n">
        <x:v>254</x:v>
      </x:c>
      <x:c r="G50" s="4" t="n">
        <x:v>856</x:v>
      </x:c>
      <x:c r="H50" s="4" t="str">
        <x:v>No direct consumer; registered spare/dynamic-only</x:v>
      </x:c>
      <x:c r="I50" s="4" t="str">
        <x:v>449b2dfea300df80023efc0eebcc44daa9cd3fa33de7cc6cfa83cb5edf72d01b</x:v>
      </x:c>
    </x:row>
    <x:row r="51" ht="48" customHeight="1">
      <x:c r="A51" s="4" t="str">
        <x:v>ui/icons/medal-bronze</x:v>
      </x:c>
      <x:c r="B51" s="4" t="str">
        <x:v>assets/ui/icons/medal-bronze.png</x:v>
      </x:c>
      <x:c r="C51" s="4" t="str">
        <x:v>art-source/ui/Assets_icons.png</x:v>
      </x:c>
      <x:c r="D51" s="4" t="n">
        <x:v>264</x:v>
      </x:c>
      <x:c r="E51" s="4" t="n">
        <x:v>744</x:v>
      </x:c>
      <x:c r="F51" s="4" t="n">
        <x:v>379</x:v>
      </x:c>
      <x:c r="G51" s="4" t="n">
        <x:v>856</x:v>
      </x:c>
      <x:c r="H51" s="4" t="str">
        <x:v>No direct consumer; registered spare/dynamic-only</x:v>
      </x:c>
      <x:c r="I51" s="4" t="str">
        <x:v>912b080a15a40c5ee471fb6dbeb12ebfc000d3abc0f6f912b0c74708996aec19</x:v>
      </x:c>
    </x:row>
    <x:row r="52" ht="48" customHeight="1">
      <x:c r="A52" s="4" t="str">
        <x:v>ui/icons/trophy</x:v>
      </x:c>
      <x:c r="B52" s="4" t="str">
        <x:v>assets/ui/icons/trophy.png</x:v>
      </x:c>
      <x:c r="C52" s="4" t="str">
        <x:v>art-source/ui/Assets_icons.png</x:v>
      </x:c>
      <x:c r="D52" s="4" t="n">
        <x:v>580</x:v>
      </x:c>
      <x:c r="E52" s="4" t="n">
        <x:v>756</x:v>
      </x:c>
      <x:c r="F52" s="4" t="n">
        <x:v>684</x:v>
      </x:c>
      <x:c r="G52" s="4" t="n">
        <x:v>862</x:v>
      </x:c>
      <x:c r="H52" s="4" t="str">
        <x:v>game/atelier-ui.js:64; game/upgrade-ui.js:9; game/app.js:148; game/app.js:156; game/data.js:25</x:v>
      </x:c>
      <x:c r="I52" s="4" t="str">
        <x:v>ca9e0e00fd9eea19d8330c1b60e06e81a54966d2a00fd6f282a0a49c561899e6</x:v>
      </x:c>
    </x:row>
    <x:row r="53" ht="48" customHeight="1">
      <x:c r="A53" s="4" t="str">
        <x:v>ui/icons/quest-coins</x:v>
      </x:c>
      <x:c r="B53" s="4" t="str">
        <x:v>assets/ui/icons/quest-coins.png</x:v>
      </x:c>
      <x:c r="C53" s="4" t="str">
        <x:v>art-source/ui/Assets_icons.png</x:v>
      </x:c>
      <x:c r="D53" s="4" t="n">
        <x:v>689</x:v>
      </x:c>
      <x:c r="E53" s="4" t="n">
        <x:v>738</x:v>
      </x:c>
      <x:c r="F53" s="4" t="n">
        <x:v>828</x:v>
      </x:c>
      <x:c r="G53" s="4" t="n">
        <x:v>875</x:v>
      </x:c>
      <x:c r="H53" s="4" t="str">
        <x:v>game/atelier-ui.js:89</x:v>
      </x:c>
      <x:c r="I53" s="4" t="str">
        <x:v>87f05d0c9958ea6a9e217e431f63312514d43bb0371f7acc7ca12852156af5f6</x:v>
      </x:c>
    </x:row>
    <x:row r="54" ht="48" customHeight="1">
      <x:c r="A54" s="4" t="str">
        <x:v>ui/icons/quest-power</x:v>
      </x:c>
      <x:c r="B54" s="4" t="str">
        <x:v>assets/ui/icons/quest-power.png</x:v>
      </x:c>
      <x:c r="C54" s="4" t="str">
        <x:v>art-source/ui/Assets_icons.png</x:v>
      </x:c>
      <x:c r="D54" s="4" t="n">
        <x:v>834</x:v>
      </x:c>
      <x:c r="E54" s="4" t="n">
        <x:v>739</x:v>
      </x:c>
      <x:c r="F54" s="4" t="n">
        <x:v>973</x:v>
      </x:c>
      <x:c r="G54" s="4" t="n">
        <x:v>877</x:v>
      </x:c>
      <x:c r="H54" s="4" t="str">
        <x:v>game/atelier-ui.js:89</x:v>
      </x:c>
      <x:c r="I54" s="4" t="str">
        <x:v>d17ff8f9a7f9e3f74738adb5813313eb82cc21b796e76c7f76dd1427f096e4e3</x:v>
      </x:c>
    </x:row>
    <x:row r="55" ht="48" customHeight="1">
      <x:c r="A55" s="4" t="str">
        <x:v>ui/icons/quest-potion</x:v>
      </x:c>
      <x:c r="B55" s="4" t="str">
        <x:v>assets/ui/icons/quest-potion.png</x:v>
      </x:c>
      <x:c r="C55" s="4" t="str">
        <x:v>art-source/ui/Assets_icons.png</x:v>
      </x:c>
      <x:c r="D55" s="4" t="n">
        <x:v>1010</x:v>
      </x:c>
      <x:c r="E55" s="4" t="n">
        <x:v>739</x:v>
      </x:c>
      <x:c r="F55" s="4" t="n">
        <x:v>1096</x:v>
      </x:c>
      <x:c r="G55" s="4" t="n">
        <x:v>877</x:v>
      </x:c>
      <x:c r="H55" s="4" t="str">
        <x:v>game/atelier-ui.js:89</x:v>
      </x:c>
      <x:c r="I55" s="4" t="str">
        <x:v>5a6498438b614c7985b4c4a72198ee3eeaf3edecd26e765ef4904a058d2c5bea</x:v>
      </x:c>
    </x:row>
    <x:row r="56" ht="48" customHeight="1">
      <x:c r="A56" s="4" t="str">
        <x:v>ui/icons/quest-shrine</x:v>
      </x:c>
      <x:c r="B56" s="4" t="str">
        <x:v>assets/ui/icons/quest-shrine.png</x:v>
      </x:c>
      <x:c r="C56" s="4" t="str">
        <x:v>art-source/ui/Assets_icons.png</x:v>
      </x:c>
      <x:c r="D56" s="4" t="n">
        <x:v>1124</x:v>
      </x:c>
      <x:c r="E56" s="4" t="n">
        <x:v>729</x:v>
      </x:c>
      <x:c r="F56" s="4" t="n">
        <x:v>1253</x:v>
      </x:c>
      <x:c r="G56" s="4" t="n">
        <x:v>881</x:v>
      </x:c>
      <x:c r="H56" s="4" t="str">
        <x:v>game/atelier-ui.js:89</x:v>
      </x:c>
      <x:c r="I56" s="4" t="str">
        <x:v>cfcdb3c30cbac9f8f0b4eca82ab6f91e5ae252f1148885b5502c70ae6a90a332</x:v>
      </x:c>
    </x:row>
    <x:row r="57" ht="48" customHeight="1">
      <x:c r="A57" s="4" t="str">
        <x:v>ui/icons/quest-monster</x:v>
      </x:c>
      <x:c r="B57" s="4" t="str">
        <x:v>assets/ui/icons/quest-monster.png</x:v>
      </x:c>
      <x:c r="C57" s="4" t="str">
        <x:v>art-source/ui/Assets_icons.png</x:v>
      </x:c>
      <x:c r="D57" s="4" t="n">
        <x:v>1267</x:v>
      </x:c>
      <x:c r="E57" s="4" t="n">
        <x:v>739</x:v>
      </x:c>
      <x:c r="F57" s="4" t="n">
        <x:v>1409</x:v>
      </x:c>
      <x:c r="G57" s="4" t="n">
        <x:v>878</x:v>
      </x:c>
      <x:c r="H57" s="4" t="str">
        <x:v>game/atelier-ui.js:89</x:v>
      </x:c>
      <x:c r="I57" s="4" t="str">
        <x:v>468e9e28e70da4d1ccbead6fcd62531982ae4707106d5ba6bd5eb891919e9ae5</x:v>
      </x:c>
    </x:row>
    <x:row r="58" ht="48" customHeight="1">
      <x:c r="A58" s="4" t="str">
        <x:v>ui/icons/left</x:v>
      </x:c>
      <x:c r="B58" s="4" t="str">
        <x:v>assets/ui/icons/left.png</x:v>
      </x:c>
      <x:c r="C58" s="4" t="str">
        <x:v>art-source/ui/Assets_icons.png</x:v>
      </x:c>
      <x:c r="D58" s="4" t="n">
        <x:v>36</x:v>
      </x:c>
      <x:c r="E58" s="4" t="n">
        <x:v>921</x:v>
      </x:c>
      <x:c r="F58" s="4" t="n">
        <x:v>100</x:v>
      </x:c>
      <x:c r="G58" s="4" t="n">
        <x:v>1015</x:v>
      </x:c>
      <x:c r="H58" s="4" t="str">
        <x:v>game/arena.js:5; game/app.js:394; game/app.js:401; game/index.html:27</x:v>
      </x:c>
      <x:c r="I58" s="4" t="str">
        <x:v>94bec736520bcfb95e5b6077de671b133a027a4fa03a909092a0597e9977ee67</x:v>
      </x:c>
    </x:row>
    <x:row r="59" ht="48" customHeight="1">
      <x:c r="A59" s="4" t="str">
        <x:v>ui/icons/right</x:v>
      </x:c>
      <x:c r="B59" s="4" t="str">
        <x:v>assets/ui/icons/right.png</x:v>
      </x:c>
      <x:c r="C59" s="4" t="str">
        <x:v>art-source/ui/Assets_icons.png</x:v>
      </x:c>
      <x:c r="D59" s="4" t="n">
        <x:v>139</x:v>
      </x:c>
      <x:c r="E59" s="4" t="n">
        <x:v>921</x:v>
      </x:c>
      <x:c r="F59" s="4" t="n">
        <x:v>203</x:v>
      </x:c>
      <x:c r="G59" s="4" t="n">
        <x:v>1015</x:v>
      </x:c>
      <x:c r="H59" s="4" t="str">
        <x:v>game/arena.js:5; game/app.js:263; game/app.js:394; game/app.js:401; game/index.html:12; game/index.html:13</x:v>
      </x:c>
      <x:c r="I59" s="4" t="str">
        <x:v>dca547afc7eb4af631dbe9152ade395bf25311e8753da3cdba20e5178673d364</x:v>
      </x:c>
    </x:row>
    <x:row r="60" ht="48" customHeight="1">
      <x:c r="A60" s="4" t="str">
        <x:v>ui/icons/crouch</x:v>
      </x:c>
      <x:c r="B60" s="4" t="str">
        <x:v>assets/ui/icons/crouch.png</x:v>
      </x:c>
      <x:c r="C60" s="4" t="str">
        <x:v>art-source/ui/Assets_icons.png</x:v>
      </x:c>
      <x:c r="D60" s="4" t="n">
        <x:v>225</x:v>
      </x:c>
      <x:c r="E60" s="4" t="n">
        <x:v>948</x:v>
      </x:c>
      <x:c r="F60" s="4" t="n">
        <x:v>304</x:v>
      </x:c>
      <x:c r="G60" s="4" t="n">
        <x:v>1003</x:v>
      </x:c>
      <x:c r="H60" s="4" t="str">
        <x:v>game/controls.js:20; game/app.js:394; game/app.js:401; game/index.html:27</x:v>
      </x:c>
      <x:c r="I60" s="4" t="str">
        <x:v>f67f02f409207d014faf6a38505e8b876308ca305f410271e5a50c5b77616ddd</x:v>
      </x:c>
    </x:row>
    <x:row r="61" ht="48" customHeight="1">
      <x:c r="A61" s="4" t="str">
        <x:v>ui/icons/diamond</x:v>
      </x:c>
      <x:c r="B61" s="4" t="str">
        <x:v>assets/ui/icons/diamond.png</x:v>
      </x:c>
      <x:c r="C61" s="4" t="str">
        <x:v>art-source/ui/Assets_icons.png</x:v>
      </x:c>
      <x:c r="D61" s="4" t="n">
        <x:v>331</x:v>
      </x:c>
      <x:c r="E61" s="4" t="n">
        <x:v>927</x:v>
      </x:c>
      <x:c r="F61" s="4" t="n">
        <x:v>416</x:v>
      </x:c>
      <x:c r="G61" s="4" t="n">
        <x:v>1012</x:v>
      </x:c>
      <x:c r="H61" s="4" t="str">
        <x:v>No direct consumer; registered spare/dynamic-only</x:v>
      </x:c>
      <x:c r="I61" s="4" t="str">
        <x:v>83960834a8354998e859ff1c6ecb3582f4a9a81cd207a193d967e9c2f658eef8</x:v>
      </x:c>
    </x:row>
    <x:row r="62" ht="48" customHeight="1">
      <x:c r="A62" s="4" t="str">
        <x:v>ui/frames/currency</x:v>
      </x:c>
      <x:c r="B62" s="4" t="str">
        <x:v>assets/ui/frames/currency.png</x:v>
      </x:c>
      <x:c r="C62" s="4" t="str">
        <x:v>art-source/ui/Assets_placeholders.png</x:v>
      </x:c>
      <x:c r="D62" s="4" t="n">
        <x:v>1173</x:v>
      </x:c>
      <x:c r="E62" s="4" t="n">
        <x:v>29</x:v>
      </x:c>
      <x:c r="F62" s="4" t="n">
        <x:v>1419</x:v>
      </x:c>
      <x:c r="G62" s="4" t="n">
        <x:v>102</x:v>
      </x:c>
      <x:c r="H62" s="4" t="str">
        <x:v>game/atelier.css:30</x:v>
      </x:c>
      <x:c r="I62" s="4" t="str">
        <x:v>c879373ca20f78ce7fff187449b700188bc35d7fb755b48de44847f21aba0a48</x:v>
      </x:c>
    </x:row>
    <x:row r="63" ht="48" customHeight="1">
      <x:c r="A63" s="4" t="str">
        <x:v>ui/frames/tab</x:v>
      </x:c>
      <x:c r="B63" s="4" t="str">
        <x:v>assets/ui/frames/tab.png</x:v>
      </x:c>
      <x:c r="C63" s="4" t="str">
        <x:v>art-source/ui/Assets_placeholders.png</x:v>
      </x:c>
      <x:c r="D63" s="4" t="n">
        <x:v>748</x:v>
      </x:c>
      <x:c r="E63" s="4" t="n">
        <x:v>131</x:v>
      </x:c>
      <x:c r="F63" s="4" t="n">
        <x:v>885</x:v>
      </x:c>
      <x:c r="G63" s="4" t="n">
        <x:v>204</x:v>
      </x:c>
      <x:c r="H63" s="4" t="str">
        <x:v>game/atelier.css:22; game/atelier.css:33; game/atelier.css:34; game/atelier.css:70</x:v>
      </x:c>
      <x:c r="I63" s="4" t="str">
        <x:v>1cbff2a023d44d8eb2c4d7c5a3ce1a8ee06570be375b22b92816fac1eb1dee61</x:v>
      </x:c>
    </x:row>
    <x:row r="64" ht="48" customHeight="1">
      <x:c r="A64" s="4" t="str">
        <x:v>ui/frames/tab-selected</x:v>
      </x:c>
      <x:c r="B64" s="4" t="str">
        <x:v>assets/ui/frames/tab-selected.png</x:v>
      </x:c>
      <x:c r="C64" s="4" t="str">
        <x:v>art-source/ui/Assets_placeholders.png</x:v>
      </x:c>
      <x:c r="D64" s="4" t="n">
        <x:v>607</x:v>
      </x:c>
      <x:c r="E64" s="4" t="n">
        <x:v>132</x:v>
      </x:c>
      <x:c r="F64" s="4" t="n">
        <x:v>745</x:v>
      </x:c>
      <x:c r="G64" s="4" t="n">
        <x:v>204</x:v>
      </x:c>
      <x:c r="H64" s="4" t="str">
        <x:v>game/atelier.css:22; game/atelier.css:34; game/atelier.css:70</x:v>
      </x:c>
      <x:c r="I64" s="4" t="str">
        <x:v>00e01fe73ced78f08bade668f78f6b88fd71ec46f150ab7e4584658bf2717a89</x:v>
      </x:c>
    </x:row>
    <x:row r="65" ht="48" customHeight="1">
      <x:c r="A65" s="4" t="str">
        <x:v>ui/frames/button</x:v>
      </x:c>
      <x:c r="B65" s="4" t="str">
        <x:v>assets/ui/frames/button.png</x:v>
      </x:c>
      <x:c r="C65" s="4" t="str">
        <x:v>art-source/ui/Assets_placeholders.png</x:v>
      </x:c>
      <x:c r="D65" s="4" t="n">
        <x:v>859</x:v>
      </x:c>
      <x:c r="E65" s="4" t="n">
        <x:v>226</x:v>
      </x:c>
      <x:c r="F65" s="4" t="n">
        <x:v>1041</x:v>
      </x:c>
      <x:c r="G65" s="4" t="n">
        <x:v>292</x:v>
      </x:c>
      <x:c r="H65" s="4" t="str">
        <x:v>game/atelier.css:17; game/atelier.css:18; game/atelier.css:42; game/atelier.css:45; game/atelier.css:60; game/atelier.css:83</x:v>
      </x:c>
      <x:c r="I65" s="4" t="str">
        <x:v>5acc2b60e40eeb73f167a7006fa20e931c10a2b6dd079ffb6dff289b0f8f1c47</x:v>
      </x:c>
    </x:row>
    <x:row r="66" ht="48" customHeight="1">
      <x:c r="A66" s="4" t="str">
        <x:v>ui/frames/button-gold</x:v>
      </x:c>
      <x:c r="B66" s="4" t="str">
        <x:v>assets/ui/frames/button-gold.png</x:v>
      </x:c>
      <x:c r="C66" s="4" t="str">
        <x:v>art-source/ui/Assets_placeholders.png</x:v>
      </x:c>
      <x:c r="D66" s="4" t="n">
        <x:v>1082</x:v>
      </x:c>
      <x:c r="E66" s="4" t="n">
        <x:v>227</x:v>
      </x:c>
      <x:c r="F66" s="4" t="n">
        <x:v>1282</x:v>
      </x:c>
      <x:c r="G66" s="4" t="n">
        <x:v>295</x:v>
      </x:c>
      <x:c r="H66" s="4" t="str">
        <x:v>game/atelier.css:60</x:v>
      </x:c>
      <x:c r="I66" s="4" t="str">
        <x:v>34b8e83a4546b84804a5d9366eb155890b5cea000443fefd9655212ba08d4079</x:v>
      </x:c>
    </x:row>
    <x:row r="67" ht="48" customHeight="1">
      <x:c r="A67" s="4" t="str">
        <x:v>ui/frames/hero-card</x:v>
      </x:c>
      <x:c r="B67" s="4" t="str">
        <x:v>assets/ui/frames/hero-card.png</x:v>
      </x:c>
      <x:c r="C67" s="4" t="str">
        <x:v>art-source/ui/Assets_placeholders.png</x:v>
      </x:c>
      <x:c r="D67" s="4" t="n">
        <x:v>27</x:v>
      </x:c>
      <x:c r="E67" s="4" t="n">
        <x:v>308</x:v>
      </x:c>
      <x:c r="F67" s="4" t="n">
        <x:v>175</x:v>
      </x:c>
      <x:c r="G67" s="4" t="n">
        <x:v>523</x:v>
      </x:c>
      <x:c r="H67" s="4" t="str">
        <x:v>game/atelier.css:50; game/atelier.css:57; game/atelier.css:58; game/atelier.css:66; game/atelier.css:68; game/atelier.css:85</x:v>
      </x:c>
      <x:c r="I67" s="4" t="str">
        <x:v>8655e11efd974e5357267b28a6cf499b3fda4261231c763b91480e31ea023b2b</x:v>
      </x:c>
    </x:row>
    <x:row r="68" ht="48" customHeight="1">
      <x:c r="A68" s="4" t="str">
        <x:v>ui/frames/hero-selected</x:v>
      </x:c>
      <x:c r="B68" s="4" t="str">
        <x:v>assets/ui/frames/hero-selected.png</x:v>
      </x:c>
      <x:c r="C68" s="4" t="str">
        <x:v>art-source/ui/Assets_placeholders.png</x:v>
      </x:c>
      <x:c r="D68" s="4" t="n">
        <x:v>186</x:v>
      </x:c>
      <x:c r="E68" s="4" t="n">
        <x:v>308</x:v>
      </x:c>
      <x:c r="F68" s="4" t="n">
        <x:v>332</x:v>
      </x:c>
      <x:c r="G68" s="4" t="n">
        <x:v>522</x:v>
      </x:c>
      <x:c r="H68" s="4" t="str">
        <x:v>game/atelier.css:51; game/atelier.css:86; game/atelier.css:104</x:v>
      </x:c>
      <x:c r="I68" s="4" t="str">
        <x:v>41a005b35ffadde97fc7f4e7d1bd00af70986c2dbcb76b50a474105a44a4fca7</x:v>
      </x:c>
    </x:row>
    <x:row r="69" ht="48" customHeight="1">
      <x:c r="A69" s="4" t="str">
        <x:v>ui/frames/hero-locked</x:v>
      </x:c>
      <x:c r="B69" s="4" t="str">
        <x:v>assets/ui/frames/hero-locked.png</x:v>
      </x:c>
      <x:c r="C69" s="4" t="str">
        <x:v>art-source/ui/Assets_placeholders.png</x:v>
      </x:c>
      <x:c r="D69" s="4" t="n">
        <x:v>344</x:v>
      </x:c>
      <x:c r="E69" s="4" t="n">
        <x:v>309</x:v>
      </x:c>
      <x:c r="F69" s="4" t="n">
        <x:v>491</x:v>
      </x:c>
      <x:c r="G69" s="4" t="n">
        <x:v>522</x:v>
      </x:c>
      <x:c r="H69" s="4" t="str">
        <x:v>No direct consumer; registered spare/dynamic-only</x:v>
      </x:c>
      <x:c r="I69" s="4" t="str">
        <x:v>15f5ad3d1d7ad2d92ddc133d2af316f03a3ccd6aecf2b11b9e9bc7123cbc3a39</x:v>
      </x:c>
    </x:row>
    <x:row r="70" ht="48" customHeight="1">
      <x:c r="A70" s="4" t="str">
        <x:v>ui/frames/hero-purple</x:v>
      </x:c>
      <x:c r="B70" s="4" t="str">
        <x:v>assets/ui/frames/hero-purple.png</x:v>
      </x:c>
      <x:c r="C70" s="4" t="str">
        <x:v>art-source/ui/Assets_placeholders.png</x:v>
      </x:c>
      <x:c r="D70" s="4" t="n">
        <x:v>658</x:v>
      </x:c>
      <x:c r="E70" s="4" t="n">
        <x:v>309</x:v>
      </x:c>
      <x:c r="F70" s="4" t="n">
        <x:v>795</x:v>
      </x:c>
      <x:c r="G70" s="4" t="n">
        <x:v>523</x:v>
      </x:c>
      <x:c r="H70" s="4" t="str">
        <x:v>No direct consumer; registered spare/dynamic-only</x:v>
      </x:c>
      <x:c r="I70" s="4" t="str">
        <x:v>0713fc050e2acb7cfab9a68e5c86985348ba414087e7580eefe82228a05f1c3a</x:v>
      </x:c>
    </x:row>
    <x:row r="71" ht="48" customHeight="1">
      <x:c r="A71" s="4" t="str">
        <x:v>ui/frames/quest</x:v>
      </x:c>
      <x:c r="B71" s="4" t="str">
        <x:v>assets/ui/frames/quest.png</x:v>
      </x:c>
      <x:c r="C71" s="4" t="str">
        <x:v>art-source/ui/Assets_placeholders.png</x:v>
      </x:c>
      <x:c r="D71" s="4" t="n">
        <x:v>491</x:v>
      </x:c>
      <x:c r="E71" s="4" t="n">
        <x:v>544</x:v>
      </x:c>
      <x:c r="F71" s="4" t="n">
        <x:v>710</x:v>
      </x:c>
      <x:c r="G71" s="4" t="n">
        <x:v>650</x:v>
      </x:c>
      <x:c r="H71" s="4" t="str">
        <x:v>game/atelier.css:60; game/atelier.css:64</x:v>
      </x:c>
      <x:c r="I71" s="4" t="str">
        <x:v>4ba3c57ec541c2ca5ebb6b70e75512d39bbfdbb04a95830fe1d1ecaafdb29de3</x:v>
      </x:c>
    </x:row>
    <x:row r="72" ht="48" customHeight="1">
      <x:c r="A72" s="4" t="str">
        <x:v>ui/frames/price</x:v>
      </x:c>
      <x:c r="B72" s="4" t="str">
        <x:v>assets/ui/frames/price.png</x:v>
      </x:c>
      <x:c r="C72" s="4" t="str">
        <x:v>art-source/ui/Assets_placeholders.png</x:v>
      </x:c>
      <x:c r="D72" s="4" t="n">
        <x:v>794</x:v>
      </x:c>
      <x:c r="E72" s="4" t="n">
        <x:v>663</x:v>
      </x:c>
      <x:c r="F72" s="4" t="n">
        <x:v>932</x:v>
      </x:c>
      <x:c r="G72" s="4" t="n">
        <x:v>721</x:v>
      </x:c>
      <x:c r="H72" s="4" t="str">
        <x:v>game/atelier.css:42</x:v>
      </x:c>
      <x:c r="I72" s="4" t="str">
        <x:v>966594897afc048a558fb784f7167e2abfd739c2abbbad7bc27373559fc58768</x:v>
      </x:c>
    </x:row>
    <x:row r="73" ht="48" customHeight="1">
      <x:c r="A73" s="4" t="str">
        <x:v>ui/frames/nav</x:v>
      </x:c>
      <x:c r="B73" s="4" t="str">
        <x:v>assets/ui/frames/nav.png</x:v>
      </x:c>
      <x:c r="C73" s="4" t="str">
        <x:v>art-source/ui/Assets_placeholders.png</x:v>
      </x:c>
      <x:c r="D73" s="4" t="n">
        <x:v>27</x:v>
      </x:c>
      <x:c r="E73" s="4" t="n">
        <x:v>739</x:v>
      </x:c>
      <x:c r="F73" s="4" t="n">
        <x:v>682</x:v>
      </x:c>
      <x:c r="G73" s="4" t="n">
        <x:v>791</x:v>
      </x:c>
      <x:c r="H73" s="4" t="str">
        <x:v>game/atelier.css:32</x:v>
      </x:c>
      <x:c r="I73" s="4" t="str">
        <x:v>2fffc13c71ac44708afff6ce576085201e3446e2da569f887d2a857229048288</x:v>
      </x:c>
    </x:row>
    <x:row r="74" ht="48" customHeight="1">
      <x:c r="A74" s="4" t="str">
        <x:v>ui/frames/setting-row</x:v>
      </x:c>
      <x:c r="B74" s="4" t="str">
        <x:v>assets/ui/frames/setting-row.png</x:v>
      </x:c>
      <x:c r="C74" s="4" t="str">
        <x:v>art-source/ui/Assets_placeholders.png</x:v>
      </x:c>
      <x:c r="D74" s="4" t="n">
        <x:v>28</x:v>
      </x:c>
      <x:c r="E74" s="4" t="n">
        <x:v>800</x:v>
      </x:c>
      <x:c r="F74" s="4" t="n">
        <x:v>373</x:v>
      </x:c>
      <x:c r="G74" s="4" t="n">
        <x:v>870</x:v>
      </x:c>
      <x:c r="H74" s="4" t="str">
        <x:v>game/atelier.css:68</x:v>
      </x:c>
      <x:c r="I74" s="4" t="str">
        <x:v>ebe637552ac09132236d68930ae594a4f13b782e642d85a69ce60be55746da06</x:v>
      </x:c>
    </x:row>
    <x:row r="75" ht="48" customHeight="1">
      <x:c r="A75" s="4" t="str">
        <x:v>ui/frames/button-large</x:v>
      </x:c>
      <x:c r="B75" s="4" t="str">
        <x:v>assets/ui/frames/button-large.png</x:v>
      </x:c>
      <x:c r="C75" s="4" t="str">
        <x:v>art-source/ui/Assets_placeholders.png</x:v>
      </x:c>
      <x:c r="D75" s="4" t="n">
        <x:v>712</x:v>
      </x:c>
      <x:c r="E75" s="4" t="n">
        <x:v>886</x:v>
      </x:c>
      <x:c r="F75" s="4" t="n">
        <x:v>1029</x:v>
      </x:c>
      <x:c r="G75" s="4" t="n">
        <x:v>964</x:v>
      </x:c>
      <x:c r="H75" s="4" t="str">
        <x:v>game/atelier.css:18; game/atelier.css:45</x:v>
      </x:c>
      <x:c r="I75" s="4" t="str">
        <x:v>6efbf331889c589ee49c6dfeec736c70e3af80b7f16bfb6206de432e916d95a5</x:v>
      </x:c>
    </x:row>
    <x:row r="76" ht="48" customHeight="1">
      <x:c r="A76" s="4" t="str">
        <x:v>ui/frames/toggle-on</x:v>
      </x:c>
      <x:c r="B76" s="4" t="str">
        <x:v>assets/ui/frames/toggle-on.png</x:v>
      </x:c>
      <x:c r="C76" s="4" t="str">
        <x:v>art-source/ui/Assets_placeholders.png</x:v>
      </x:c>
      <x:c r="D76" s="4" t="n">
        <x:v>1182</x:v>
      </x:c>
      <x:c r="E76" s="4" t="n">
        <x:v>883</x:v>
      </x:c>
      <x:c r="F76" s="4" t="n">
        <x:v>1285</x:v>
      </x:c>
      <x:c r="G76" s="4" t="n">
        <x:v>938</x:v>
      </x:c>
      <x:c r="H76" s="4" t="str">
        <x:v>game/atelier.css:68</x:v>
      </x:c>
      <x:c r="I76" s="4" t="str">
        <x:v>5614c9de4017113b717fe6edd4bdc8b0fe12f8caf8c668d7c8e7feb4eec77eef</x:v>
      </x:c>
    </x:row>
    <x:row r="77" ht="48" customHeight="1">
      <x:c r="A77" s="4" t="str">
        <x:v>ui/frames/toggle-off</x:v>
      </x:c>
      <x:c r="B77" s="4" t="str">
        <x:v>assets/ui/frames/toggle-off.png</x:v>
      </x:c>
      <x:c r="C77" s="4" t="str">
        <x:v>art-source/ui/Assets_placeholders.png</x:v>
      </x:c>
      <x:c r="D77" s="4" t="n">
        <x:v>1312</x:v>
      </x:c>
      <x:c r="E77" s="4" t="n">
        <x:v>883</x:v>
      </x:c>
      <x:c r="F77" s="4" t="n">
        <x:v>1416</x:v>
      </x:c>
      <x:c r="G77" s="4" t="n">
        <x:v>938</x:v>
      </x:c>
      <x:c r="H77" s="4" t="str">
        <x:v>game/atelier.css:68</x:v>
      </x:c>
      <x:c r="I77" s="4" t="str">
        <x:v>0fe6bc7e4d31c5393f387aca07a4b4c030811a6dace6bba25d6c4789a0b6c022</x:v>
      </x:c>
    </x:row>
    <x:row r="78" ht="48" customHeight="1">
      <x:c r="A78" s="4" t="str">
        <x:v>ui/frames/progress-empty</x:v>
      </x:c>
      <x:c r="B78" s="4" t="str">
        <x:v>assets/ui/frames/progress-empty.png</x:v>
      </x:c>
      <x:c r="C78" s="4" t="str">
        <x:v>art-source/ui/Assets_placeholders.png</x:v>
      </x:c>
      <x:c r="D78" s="4" t="n">
        <x:v>28</x:v>
      </x:c>
      <x:c r="E78" s="4" t="n">
        <x:v>981</x:v>
      </x:c>
      <x:c r="F78" s="4" t="n">
        <x:v>324</x:v>
      </x:c>
      <x:c r="G78" s="4" t="n">
        <x:v>1013</x:v>
      </x:c>
      <x:c r="H78" s="4" t="str">
        <x:v>No direct consumer; registered spare/dynamic-only</x:v>
      </x:c>
      <x:c r="I78" s="4" t="str">
        <x:v>b7ff49eecfada1ada6665c4598c8416785abe90ac309011765aa7a9ac4e215f7</x:v>
      </x:c>
    </x:row>
    <x:row r="79" ht="48" customHeight="1">
      <x:c r="A79" s="4" t="str">
        <x:v>ui/frames/progress-full</x:v>
      </x:c>
      <x:c r="B79" s="4" t="str">
        <x:v>assets/ui/frames/progress-full.png</x:v>
      </x:c>
      <x:c r="C79" s="4" t="str">
        <x:v>art-source/ui/Assets_placeholders.png</x:v>
      </x:c>
      <x:c r="D79" s="4" t="n">
        <x:v>341</x:v>
      </x:c>
      <x:c r="E79" s="4" t="n">
        <x:v>982</x:v>
      </x:c>
      <x:c r="F79" s="4" t="n">
        <x:v>561</x:v>
      </x:c>
      <x:c r="G79" s="4" t="n">
        <x:v>1012</x:v>
      </x:c>
      <x:c r="H79" s="4" t="str">
        <x:v>No direct consumer; registered spare/dynamic-only</x:v>
      </x:c>
      <x:c r="I79" s="4" t="str">
        <x:v>26fb1de96ad8b84f7ee0a89768eaf57848c5074067e8ebf9fc64fceec1b5a642</x:v>
      </x:c>
    </x:row>
    <x:row r="80" ht="48" customHeight="1">
      <x:c r="A80" s="4" t="str">
        <x:v>ui/frames/panel</x:v>
      </x:c>
      <x:c r="B80" s="4" t="str">
        <x:v>assets/ui/frames/panel.png</x:v>
      </x:c>
      <x:c r="C80" s="4" t="str">
        <x:v>art-source/ui/Assets_placeholders_2.png</x:v>
      </x:c>
      <x:c r="D80" s="4" t="n">
        <x:v>370</x:v>
      </x:c>
      <x:c r="E80" s="4" t="n">
        <x:v>402</x:v>
      </x:c>
      <x:c r="F80" s="4" t="n">
        <x:v>810</x:v>
      </x:c>
      <x:c r="G80" s="4" t="n">
        <x:v>629</x:v>
      </x:c>
      <x:c r="H80" s="4" t="str">
        <x:v>game/atelier.css:14; game/atelier.css:44</x:v>
      </x:c>
      <x:c r="I80" s="4" t="str">
        <x:v>eb0989593a028583e2ec2e25a306a0bf62913cccad7f97de60425f63d51cc231</x:v>
      </x:c>
    </x:row>
    <x:row r="81" ht="48" customHeight="1">
      <x:c r="A81" s="4" t="str">
        <x:v>ui/frames/profile</x:v>
      </x:c>
      <x:c r="B81" s="4" t="str">
        <x:v>assets/ui/frames/profile.png</x:v>
      </x:c>
      <x:c r="C81" s="4" t="str">
        <x:v>art-source/ui/Assets_placeholders_2.png</x:v>
      </x:c>
      <x:c r="D81" s="4" t="n">
        <x:v>27</x:v>
      </x:c>
      <x:c r="E81" s="4" t="n">
        <x:v>647</x:v>
      </x:c>
      <x:c r="F81" s="4" t="n">
        <x:v>476</x:v>
      </x:c>
      <x:c r="G81" s="4" t="n">
        <x:v>882</x:v>
      </x:c>
      <x:c r="H81" s="4" t="str">
        <x:v>No direct consumer; registered spare/dynamic-only</x:v>
      </x:c>
      <x:c r="I81" s="4" t="str">
        <x:v>b2df4fc5fa718a4760d6454056c3b67bc0bbc24928915464b2b4659849121252</x:v>
      </x:c>
    </x:row>
    <x:row r="82" ht="48" customHeight="1">
      <x:c r="A82" s="4" t="str">
        <x:v>ui/frames/identity</x:v>
      </x:c>
      <x:c r="B82" s="4" t="str">
        <x:v>assets/ui/frames/identity.png</x:v>
      </x:c>
      <x:c r="C82" s="4" t="str">
        <x:v>art-source/ui/Assets_placeholders_2.png</x:v>
      </x:c>
      <x:c r="D82" s="4" t="n">
        <x:v>823</x:v>
      </x:c>
      <x:c r="E82" s="4" t="n">
        <x:v>421</x:v>
      </x:c>
      <x:c r="F82" s="4" t="n">
        <x:v>1179</x:v>
      </x:c>
      <x:c r="G82" s="4" t="n">
        <x:v>528</x:v>
      </x:c>
      <x:c r="H82" s="4" t="str">
        <x:v>game/atelier.css:26; game/atelier.css:43; game/atelier.css:101</x:v>
      </x:c>
      <x:c r="I82" s="4" t="str">
        <x:v>86394263e733bae0b68841393e62b30c8a0825c856cc560f34b187da68a84f43</x:v>
      </x:c>
    </x:row>
    <x:row r="83" ht="48" customHeight="1">
      <x:c r="A83" s="4" t="str">
        <x:v>ui/frames/portrait</x:v>
      </x:c>
      <x:c r="B83" s="4" t="str">
        <x:v>assets/ui/frames/portrait.png</x:v>
      </x:c>
      <x:c r="C83" s="4" t="str">
        <x:v>art-source/ui/Assets_placeholders_2.png</x:v>
      </x:c>
      <x:c r="D83" s="4" t="n">
        <x:v>84</x:v>
      </x:c>
      <x:c r="E83" s="4" t="n">
        <x:v>129</x:v>
      </x:c>
      <x:c r="F83" s="4" t="n">
        <x:v>247</x:v>
      </x:c>
      <x:c r="G83" s="4" t="n">
        <x:v>336</x:v>
      </x:c>
      <x:c r="H83" s="4" t="str">
        <x:v>game/atelier.css:27</x:v>
      </x:c>
      <x:c r="I83" s="4" t="str">
        <x:v>8a03b4517ac7ca8b253780f3b42f12047affb72c647dfbda03714004cebd91d3</x:v>
      </x:c>
    </x:row>
    <x:row r="84" ht="48" customHeight="1">
      <x:c r="A84" s="4" t="str">
        <x:v>ui/frames/portrait-selected</x:v>
      </x:c>
      <x:c r="B84" s="4" t="str">
        <x:v>assets/ui/frames/portrait-selected.png</x:v>
      </x:c>
      <x:c r="C84" s="4" t="str">
        <x:v>art-source/ui/Assets_placeholders_2.png</x:v>
      </x:c>
      <x:c r="D84" s="4" t="n">
        <x:v>270</x:v>
      </x:c>
      <x:c r="E84" s="4" t="n">
        <x:v>123</x:v>
      </x:c>
      <x:c r="F84" s="4" t="n">
        <x:v>452</x:v>
      </x:c>
      <x:c r="G84" s="4" t="n">
        <x:v>342</x:v>
      </x:c>
      <x:c r="H84" s="4" t="str">
        <x:v>No direct consumer; registered spare/dynamic-only</x:v>
      </x:c>
      <x:c r="I84" s="4" t="str">
        <x:v>51c9662bfb50a1fa54cc00757078fc8be0d1aa06036d27dc09786f9393a5aadf</x:v>
      </x:c>
    </x:row>
    <x:row r="85" ht="48" customHeight="1">
      <x:c r="A85" s="4" t="str">
        <x:v>ui/frames/input</x:v>
      </x:c>
      <x:c r="B85" s="4" t="str">
        <x:v>assets/ui/frames/input.png</x:v>
      </x:c>
      <x:c r="C85" s="4" t="str">
        <x:v>art-source/ui/Assets_placeholders_2.png</x:v>
      </x:c>
      <x:c r="D85" s="4" t="n">
        <x:v>36</x:v>
      </x:c>
      <x:c r="E85" s="4" t="n">
        <x:v>887</x:v>
      </x:c>
      <x:c r="F85" s="4" t="n">
        <x:v>380</x:v>
      </x:c>
      <x:c r="G85" s="4" t="n">
        <x:v>955</x:v>
      </x:c>
      <x:c r="H85" s="4" t="str">
        <x:v>No direct consumer; registered spare/dynamic-only</x:v>
      </x:c>
      <x:c r="I85" s="4" t="str">
        <x:v>dbbc38636b56dff6ef9fcd265e797e3fe01b0b72181e51951abd66ec189955ae</x:v>
      </x:c>
    </x:row>
  </x:sheetData>
  <x:pageMargins left="0.7" right="0.7" top="0.75" bottom="0.75" header="0.3" footer="0.3"/>
  <x:tableParts count="1">
    <x:tablePart xmlns:r="http://schemas.openxmlformats.org/officeDocument/2006/relationships" r:id="Rcc6f7f67d21949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16" hidden="0" customWidth="1"/>
    <x:col min="13" max="13" width="16" hidden="0" customWidth="1"/>
    <x:col min="14" max="14" width="20" hidden="0" customWidth="1"/>
  </x:cols>
  <x:sheetData>
    <x:row r="1" ht="34" customHeight="1">
      <x:c r="A1" s="10" t="str">
        <x:v>Stable ID</x:v>
      </x:c>
      <x:c r="B1" s="10" t="str">
        <x:v>Display name</x:v>
      </x:c>
      <x:c r="C1" s="10" t="str">
        <x:v>Startup (s)</x:v>
      </x:c>
      <x:c r="D1" s="10" t="str">
        <x:v>Active (s)</x:v>
      </x:c>
      <x:c r="E1" s="10" t="str">
        <x:v>Recovery (s)</x:v>
      </x:c>
      <x:c r="F1" s="10" t="str">
        <x:v>Dodge (s)</x:v>
      </x:c>
      <x:c r="G1" s="10" t="str">
        <x:v>Speed factor</x:v>
      </x:c>
      <x:c r="H1" s="10" t="str">
        <x:v>Accel factor</x:v>
      </x:c>
      <x:c r="I1" s="10" t="str">
        <x:v>Air factor</x:v>
      </x:c>
      <x:c r="J1" s="10" t="str">
        <x:v>Melee damage</x:v>
      </x:c>
      <x:c r="K1" s="10" t="str">
        <x:v>Projectile</x:v>
      </x:c>
      <x:c r="L1" s="10" t="str">
        <x:v>Magic damage</x:v>
      </x:c>
      <x:c r="M1" s="10" t="str">
        <x:v>Body art</x:v>
      </x:c>
      <x:c r="N1" s="10" t="str">
        <x:v>Signature key</x:v>
      </x:c>
    </x:row>
    <x:row r="2" ht="30" customHeight="1">
      <x:c r="A2" s="4" t="str">
        <x:v>wissem</x:v>
      </x:c>
      <x:c r="B2" s="4" t="str">
        <x:v>Wissem</x:v>
      </x:c>
      <x:c r="C2" s="14" t="n">
        <x:v>0.025</x:v>
      </x:c>
      <x:c r="D2" s="14" t="n">
        <x:v>0.17</x:v>
      </x:c>
      <x:c r="E2" s="14" t="n">
        <x:v>0.15</x:v>
      </x:c>
      <x:c r="F2" s="14" t="n">
        <x:v>0.21</x:v>
      </x:c>
      <x:c r="G2" s="14" t="n">
        <x:v>1.08</x:v>
      </x:c>
      <x:c r="H2" s="14" t="n">
        <x:v>1.1</x:v>
      </x:c>
      <x:c r="I2" s="14" t="n">
        <x:v>1.12</x:v>
      </x:c>
      <x:c r="J2" s="4" t="n">
        <x:v>2</x:v>
      </x:c>
      <x:c r="K2" s="4" t="str">
        <x:v>none</x:v>
      </x:c>
      <x:c r="L2" s="4" t="n">
        <x:v>0</x:v>
      </x:c>
      <x:c r="M2" s="4" t="str">
        <x:v>separate</x:v>
      </x:c>
      <x:c r="N2" s="4" t="str">
        <x:v>gauntlet</x:v>
      </x:c>
    </x:row>
    <x:row r="3" ht="30" customHeight="1">
      <x:c r="A3" s="4" t="str">
        <x:v>kossay</x:v>
      </x:c>
      <x:c r="B3" s="4" t="str">
        <x:v>Kael</x:v>
      </x:c>
      <x:c r="C3" s="14" t="n">
        <x:v>0.025</x:v>
      </x:c>
      <x:c r="D3" s="14" t="n">
        <x:v>0.12</x:v>
      </x:c>
      <x:c r="E3" s="14" t="n">
        <x:v>0.12</x:v>
      </x:c>
      <x:c r="F3" s="14" t="n">
        <x:v>0.17</x:v>
      </x:c>
      <x:c r="G3" s="14" t="n">
        <x:v>1.12</x:v>
      </x:c>
      <x:c r="H3" s="14" t="n">
        <x:v>1.25</x:v>
      </x:c>
      <x:c r="I3" s="14" t="n">
        <x:v>1</x:v>
      </x:c>
      <x:c r="J3" s="4" t="n">
        <x:v>2</x:v>
      </x:c>
      <x:c r="K3" s="4" t="str">
        <x:v>none</x:v>
      </x:c>
      <x:c r="L3" s="4" t="n">
        <x:v>0</x:v>
      </x:c>
      <x:c r="M3" s="4" t="str">
        <x:v>baked</x:v>
      </x:c>
      <x:c r="N3" s="4" t="str">
        <x:v>dual</x:v>
      </x:c>
    </x:row>
    <x:row r="4" ht="30" customHeight="1">
      <x:c r="A4" s="4" t="str">
        <x:v>yakine</x:v>
      </x:c>
      <x:c r="B4" s="4" t="str">
        <x:v>Astra</x:v>
      </x:c>
      <x:c r="C4" s="14" t="n">
        <x:v>0.17</x:v>
      </x:c>
      <x:c r="D4" s="14" t="n">
        <x:v>0.12</x:v>
      </x:c>
      <x:c r="E4" s="14" t="n">
        <x:v>0.3</x:v>
      </x:c>
      <x:c r="F4" s="14" t="n">
        <x:v>0.23</x:v>
      </x:c>
      <x:c r="G4" s="14" t="n">
        <x:v>0.86</x:v>
      </x:c>
      <x:c r="H4" s="14" t="n">
        <x:v>0.85</x:v>
      </x:c>
      <x:c r="I4" s="14" t="n">
        <x:v>0.92</x:v>
      </x:c>
      <x:c r="J4" s="4" t="n">
        <x:v>2</x:v>
      </x:c>
      <x:c r="K4" s="4" t="str">
        <x:v>arcane</x:v>
      </x:c>
      <x:c r="L4" s="4" t="n">
        <x:v>3</x:v>
      </x:c>
      <x:c r="M4" s="4" t="str">
        <x:v>baked</x:v>
      </x:c>
      <x:c r="N4" s="4" t="str">
        <x:v>staff</x:v>
      </x:c>
    </x:row>
    <x:row r="5" ht="30" customHeight="1">
      <x:c r="A5" s="4" t="str">
        <x:v>taky</x:v>
      </x:c>
      <x:c r="B5" s="4" t="str">
        <x:v>Nyx</x:v>
      </x:c>
      <x:c r="C5" s="14" t="n">
        <x:v>0.035</x:v>
      </x:c>
      <x:c r="D5" s="14" t="n">
        <x:v>0.13</x:v>
      </x:c>
      <x:c r="E5" s="14" t="n">
        <x:v>0.14</x:v>
      </x:c>
      <x:c r="F5" s="14" t="n">
        <x:v>0.16</x:v>
      </x:c>
      <x:c r="G5" s="14" t="n">
        <x:v>1.1</x:v>
      </x:c>
      <x:c r="H5" s="14" t="n">
        <x:v>1.3</x:v>
      </x:c>
      <x:c r="I5" s="14" t="n">
        <x:v>1.18</x:v>
      </x:c>
      <x:c r="J5" s="4" t="n">
        <x:v>2</x:v>
      </x:c>
      <x:c r="K5" s="4" t="str">
        <x:v>none</x:v>
      </x:c>
      <x:c r="L5" s="4" t="n">
        <x:v>0</x:v>
      </x:c>
      <x:c r="M5" s="4" t="str">
        <x:v>baked</x:v>
      </x:c>
      <x:c r="N5" s="4" t="str">
        <x:v>dagger</x:v>
      </x:c>
    </x:row>
    <x:row r="6" ht="30" customHeight="1">
      <x:c r="A6" s="4" t="str">
        <x:v>garsi</x:v>
      </x:c>
      <x:c r="B6" s="4" t="str">
        <x:v>Bront</x:v>
      </x:c>
      <x:c r="C6" s="14" t="n">
        <x:v>0.14</x:v>
      </x:c>
      <x:c r="D6" s="14" t="n">
        <x:v>0.22</x:v>
      </x:c>
      <x:c r="E6" s="14" t="n">
        <x:v>0.32</x:v>
      </x:c>
      <x:c r="F6" s="14" t="n">
        <x:v>0.26</x:v>
      </x:c>
      <x:c r="G6" s="14" t="n">
        <x:v>0.8</x:v>
      </x:c>
      <x:c r="H6" s="14" t="n">
        <x:v>0.63</x:v>
      </x:c>
      <x:c r="I6" s="14" t="n">
        <x:v>0.78</x:v>
      </x:c>
      <x:c r="J6" s="4" t="n">
        <x:v>3</x:v>
      </x:c>
      <x:c r="K6" s="4" t="str">
        <x:v>none</x:v>
      </x:c>
      <x:c r="L6" s="4" t="n">
        <x:v>0</x:v>
      </x:c>
      <x:c r="M6" s="4" t="str">
        <x:v>baked</x:v>
      </x:c>
      <x:c r="N6" s="4" t="str">
        <x:v>shield</x:v>
      </x:c>
    </x:row>
    <x:row r="7" ht="30" customHeight="1">
      <x:c r="A7" s="4" t="str">
        <x:v>tounsi</x:v>
      </x:c>
      <x:c r="B7" s="4" t="str">
        <x:v>Zephyr</x:v>
      </x:c>
      <x:c r="C7" s="14" t="n">
        <x:v>0.06</x:v>
      </x:c>
      <x:c r="D7" s="14" t="n">
        <x:v>0.2</x:v>
      </x:c>
      <x:c r="E7" s="14" t="n">
        <x:v>0.18</x:v>
      </x:c>
      <x:c r="F7" s="14" t="n">
        <x:v>0.2</x:v>
      </x:c>
      <x:c r="G7" s="14" t="n">
        <x:v>1.04</x:v>
      </x:c>
      <x:c r="H7" s="14" t="n">
        <x:v>1.1</x:v>
      </x:c>
      <x:c r="I7" s="14" t="n">
        <x:v>1.12</x:v>
      </x:c>
      <x:c r="J7" s="4" t="n">
        <x:v>2</x:v>
      </x:c>
      <x:c r="K7" s="4" t="str">
        <x:v>none</x:v>
      </x:c>
      <x:c r="L7" s="4" t="n">
        <x:v>0</x:v>
      </x:c>
      <x:c r="M7" s="4" t="str">
        <x:v>baked</x:v>
      </x:c>
      <x:c r="N7" s="4" t="str">
        <x:v>sabre</x:v>
      </x:c>
    </x:row>
    <x:row r="8" ht="30" customHeight="1">
      <x:c r="A8" s="4" t="str">
        <x:v>youssef</x:v>
      </x:c>
      <x:c r="B8" s="4" t="str">
        <x:v>Volt</x:v>
      </x:c>
      <x:c r="C8" s="14" t="n">
        <x:v>0.1</x:v>
      </x:c>
      <x:c r="D8" s="14" t="n">
        <x:v>0.1</x:v>
      </x:c>
      <x:c r="E8" s="14" t="n">
        <x:v>0.3</x:v>
      </x:c>
      <x:c r="F8" s="14" t="n">
        <x:v>0.22</x:v>
      </x:c>
      <x:c r="G8" s="14" t="n">
        <x:v>0.94</x:v>
      </x:c>
      <x:c r="H8" s="14" t="n">
        <x:v>1</x:v>
      </x:c>
      <x:c r="I8" s="14" t="n">
        <x:v>1</x:v>
      </x:c>
      <x:c r="J8" s="4" t="n">
        <x:v>2</x:v>
      </x:c>
      <x:c r="K8" s="4" t="str">
        <x:v>bolt</x:v>
      </x:c>
      <x:c r="L8" s="4" t="n">
        <x:v>0</x:v>
      </x:c>
      <x:c r="M8" s="4" t="str">
        <x:v>baked</x:v>
      </x:c>
      <x:c r="N8" s="4" t="str">
        <x:v>gadget</x:v>
      </x:c>
    </x:row>
    <x:row r="9" ht="30" customHeight="1">
      <x:c r="A9" s="4" t="str">
        <x:v>loey</x:v>
      </x:c>
      <x:c r="B9" s="4" t="str">
        <x:v>Skye</x:v>
      </x:c>
      <x:c r="C9" s="14" t="n">
        <x:v>0.2</x:v>
      </x:c>
      <x:c r="D9" s="14" t="n">
        <x:v>0.08</x:v>
      </x:c>
      <x:c r="E9" s="14" t="n">
        <x:v>0.24</x:v>
      </x:c>
      <x:c r="F9" s="14" t="n">
        <x:v>0.18</x:v>
      </x:c>
      <x:c r="G9" s="14" t="n">
        <x:v>1.03</x:v>
      </x:c>
      <x:c r="H9" s="14" t="n">
        <x:v>1.12</x:v>
      </x:c>
      <x:c r="I9" s="14" t="n">
        <x:v>1.16</x:v>
      </x:c>
      <x:c r="J9" s="4" t="n">
        <x:v>2</x:v>
      </x:c>
      <x:c r="K9" s="4" t="str">
        <x:v>arrow</x:v>
      </x:c>
      <x:c r="L9" s="4" t="n">
        <x:v>0</x:v>
      </x:c>
      <x:c r="M9" s="4" t="str">
        <x:v>baked</x:v>
      </x:c>
      <x:c r="N9" s="4" t="str">
        <x:v>bow</x:v>
      </x:c>
    </x:row>
    <x:row r="10" ht="30" customHeight="1">
      <x:c r="A10" s="4" t="str">
        <x:v>rayan</x:v>
      </x:c>
      <x:c r="B10" s="4" t="str">
        <x:v>Sol</x:v>
      </x:c>
      <x:c r="C10" s="14" t="n">
        <x:v>0.08</x:v>
      </x:c>
      <x:c r="D10" s="14" t="n">
        <x:v>0.18</x:v>
      </x:c>
      <x:c r="E10" s="14" t="n">
        <x:v>0.2</x:v>
      </x:c>
      <x:c r="F10" s="14" t="n">
        <x:v>0.22</x:v>
      </x:c>
      <x:c r="G10" s="14" t="n">
        <x:v>1</x:v>
      </x:c>
      <x:c r="H10" s="14" t="n">
        <x:v>1</x:v>
      </x:c>
      <x:c r="I10" s="14" t="n">
        <x:v>1</x:v>
      </x:c>
      <x:c r="J10" s="4" t="n">
        <x:v>2</x:v>
      </x:c>
      <x:c r="K10" s="4" t="str">
        <x:v>none</x:v>
      </x:c>
      <x:c r="L10" s="4" t="n">
        <x:v>0</x:v>
      </x:c>
      <x:c r="M10" s="4" t="str">
        <x:v>baked</x:v>
      </x:c>
      <x:c r="N10" s="4" t="str">
        <x:v>lance</x:v>
      </x:c>
    </x:row>
    <x:row r="11" ht="30" customHeight="1">
      <x:c r="A11" s="4" t="str">
        <x:v>mira</x:v>
      </x:c>
      <x:c r="B11" s="4" t="str">
        <x:v>Rime</x:v>
      </x:c>
      <x:c r="C11" s="14" t="n">
        <x:v>0.08</x:v>
      </x:c>
      <x:c r="D11" s="14" t="n">
        <x:v>0.18</x:v>
      </x:c>
      <x:c r="E11" s="14" t="n">
        <x:v>0.2</x:v>
      </x:c>
      <x:c r="F11" s="14" t="n">
        <x:v>0.22</x:v>
      </x:c>
      <x:c r="G11" s="14" t="n">
        <x:v>1</x:v>
      </x:c>
      <x:c r="H11" s="14" t="n">
        <x:v>1</x:v>
      </x:c>
      <x:c r="I11" s="14" t="n">
        <x:v>1</x:v>
      </x:c>
      <x:c r="J11" s="4" t="n">
        <x:v>2</x:v>
      </x:c>
      <x:c r="K11" s="4" t="str">
        <x:v>ice</x:v>
      </x:c>
      <x:c r="L11" s="4" t="n">
        <x:v>2</x:v>
      </x:c>
      <x:c r="M11" s="4" t="str">
        <x:v>baked</x:v>
      </x:c>
      <x:c r="N11" s="4" t="str">
        <x:v>frost_staff</x:v>
      </x:c>
    </x:row>
  </x:sheetData>
  <x:pageMargins left="0.7" right="0.7" top="0.75" bottom="0.75" header="0.3" footer="0.3"/>
  <x:tableParts count="1">
    <x:tablePart xmlns:r="http://schemas.openxmlformats.org/officeDocument/2006/relationships" r:id="R654838c501b54d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3" max="3" width="78" hidden="0" customWidth="1"/>
  </x:cols>
  <x:sheetData>
    <x:row r="1" ht="34" customHeight="1">
      <x:c r="A1" s="10" t="str">
        <x:v>Assumption</x:v>
      </x:c>
      <x:c r="B1" s="10" t="str">
        <x:v>Value</x:v>
      </x:c>
      <x:c r="C1" s="10" t="str">
        <x:v>Source / judgment</x:v>
      </x:c>
    </x:row>
    <x:row r="2" ht="48" customHeight="1">
      <x:c r="A2" s="4" t="str">
        <x:v>Reference cycle (s)</x:v>
      </x:c>
      <x:c r="B2" s="16" t="n">
        <x:v>0.46</x:v>
      </x:c>
      <x:c r="C2" s="4" t="str">
        <x:v>Original 0.08+0.18+0.20 reference; normalization design choice</x:v>
      </x:c>
    </x:row>
    <x:row r="3" ht="48" customHeight="1">
      <x:c r="A3" s="4" t="str">
        <x:v>Reference damage</x:v>
      </x:c>
      <x:c r="B3" s="16" t="n">
        <x:v>2</x:v>
      </x:c>
      <x:c r="C3" s="4" t="str">
        <x:v>Existing standard melee damage</x:v>
      </x:c>
    </x:row>
    <x:row r="4" ht="48" customHeight="1">
      <x:c r="A4" s="4" t="str">
        <x:v>Rating scale</x:v>
      </x:c>
      <x:c r="B4" s="16" t="n">
        <x:v>100</x:v>
      </x:c>
      <x:c r="C4" s="4" t="str">
        <x:v>Display normalization, not percent damage multiplier</x:v>
      </x:c>
    </x:row>
    <x:row r="5" ht="48" customHeight="1">
      <x:c r="A5" s="4" t="str">
        <x:v>Speed weight</x:v>
      </x:c>
      <x:c r="B5" s="16" t="n">
        <x:v>0.5</x:v>
      </x:c>
      <x:c r="C5" s="4" t="str">
        <x:v>New judgment: 50% top-speed influence</x:v>
      </x:c>
    </x:row>
    <x:row r="6" ht="48" customHeight="1">
      <x:c r="A6" s="4" t="str">
        <x:v>Acceleration weight</x:v>
      </x:c>
      <x:c r="B6" s="16" t="n">
        <x:v>0.3</x:v>
      </x:c>
      <x:c r="C6" s="4" t="str">
        <x:v>New judgment: 30% response influence</x:v>
      </x:c>
    </x:row>
    <x:row r="7" ht="48" customHeight="1">
      <x:c r="A7" s="4" t="str">
        <x:v>Air-control weight</x:v>
      </x:c>
      <x:c r="B7" s="16" t="n">
        <x:v>0.2</x:v>
      </x:c>
      <x:c r="C7" s="4" t="str">
        <x:v>New judgment: 20% aerial influence</x:v>
      </x:c>
    </x:row>
    <x:row r="8" ht="48" customHeight="1">
      <x:c r="A8" s="4" t="str">
        <x:v>Attack stamina cost</x:v>
      </x:c>
      <x:c r="B8" s="16" t="n">
        <x:v>8</x:v>
      </x:c>
      <x:c r="C8" s="4" t="str">
        <x:v>Unchanged ordinary attack expenditure</x:v>
      </x:c>
    </x:row>
    <x:row r="9" ht="48" customHeight="1">
      <x:c r="A9" s="4" t="str">
        <x:v>Simulation ticks / second</x:v>
      </x:c>
      <x:c r="B9" s="16" t="n">
        <x:v>60</x:v>
      </x:c>
      <x:c r="C9" s="4" t="str">
        <x:v>Fixed-tick fist phase clock</x:v>
      </x:c>
    </x:row>
    <x:row r="10" ht="48" customHeight="1">
      <x:c r="A10" s="4" t="str">
        <x:v>Minimum fist startup ticks</x:v>
      </x:c>
      <x:c r="B10" s="16" t="n">
        <x:v>3</x:v>
      </x:c>
      <x:c r="C10" s="4" t="str">
        <x:v>hollow-knight-combat-2d rule</x:v>
      </x:c>
    </x:row>
    <x:row r="11" ht="48" customHeight="1">
      <x:c r="A11" s="4" t="str">
        <x:v>Maximum fist startup ticks</x:v>
      </x:c>
      <x:c r="B11" s="16" t="n">
        <x:v>6</x:v>
      </x:c>
      <x:c r="C11" s="4" t="str">
        <x:v>hollow-knight-combat-2d rule</x:v>
      </x:c>
    </x:row>
    <x:row r="12" ht="48" customHeight="1">
      <x:c r="A12" s="4" t="str">
        <x:v>Minimum fist active ticks</x:v>
      </x:c>
      <x:c r="B12" s="16" t="n">
        <x:v>3</x:v>
      </x:c>
      <x:c r="C12" s="4" t="str">
        <x:v>New fist tuning choice</x:v>
      </x:c>
    </x:row>
    <x:row r="13" ht="48" customHeight="1">
      <x:c r="A13" s="4" t="str">
        <x:v>Maximum fist active ticks</x:v>
      </x:c>
      <x:c r="B13" s="16" t="n">
        <x:v>5</x:v>
      </x:c>
      <x:c r="C13" s="4" t="str">
        <x:v>New fist tuning choice</x:v>
      </x:c>
    </x:row>
    <x:row r="14" ht="48" customHeight="1">
      <x:c r="A14" s="4" t="str">
        <x:v>Fist active conversion</x:v>
      </x:c>
      <x:c r="B14" s="16" t="n">
        <x:v>30</x:v>
      </x:c>
      <x:c r="C14" s="4" t="str">
        <x:v>Round legacy active seconds ×30, then clamp 3–5</x:v>
      </x:c>
    </x:row>
  </x:sheetData>
  <x:pageMargins left="0.7" right="0.7" top="0.75" bottom="0.75" header="0.3" footer="0.3"/>
  <x:tableParts count="1">
    <x:tablePart xmlns:r="http://schemas.openxmlformats.org/officeDocument/2006/relationships" r:id="R1b547486c6e64d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7" hidden="0" customWidth="1"/>
    <x:col min="9" max="9" width="17" hidden="0" customWidth="1"/>
    <x:col min="10" max="10" width="16" hidden="0" customWidth="1"/>
    <x:col min="11" max="11" width="19" hidden="0" customWidth="1"/>
  </x:cols>
  <x:sheetData>
    <x:row r="1" ht="34" customHeight="1">
      <x:c r="A1" s="10" t="str">
        <x:v>Stable ID</x:v>
      </x:c>
      <x:c r="B1" s="10" t="str">
        <x:v>Display name</x:v>
      </x:c>
      <x:c r="C1" s="10" t="str">
        <x:v>Cycle (s)</x:v>
      </x:c>
      <x:c r="D1" s="10" t="str">
        <x:v>Power</x:v>
      </x:c>
      <x:c r="E1" s="10" t="str">
        <x:v>Magic</x:v>
      </x:c>
      <x:c r="F1" s="10" t="str">
        <x:v>Speed</x:v>
      </x:c>
      <x:c r="G1" s="10" t="str">
        <x:v>Stamina</x:v>
      </x:c>
      <x:c r="H1" s="10" t="str">
        <x:v>Drain / sec</x:v>
      </x:c>
      <x:c r="I1" s="10" t="str">
        <x:v>Fist startup</x:v>
      </x:c>
      <x:c r="J1" s="10" t="str">
        <x:v>Fist active</x:v>
      </x:c>
      <x:c r="K1" s="10" t="str">
        <x:v>Fist recovery</x:v>
      </x:c>
    </x:row>
    <x:row r="2" ht="32" customHeight="1">
      <x:c r="A2" s="4" t="str">
        <x:f>'Hero inputs'!A2</x:f>
        <x:v>wissem</x:v>
      </x:c>
      <x:c r="B2" s="4" t="str">
        <x:f>'Hero inputs'!B2</x:f>
        <x:v>Wissem</x:v>
      </x:c>
      <x:c r="C2" s="14" t="n">
        <x:f>SUM('Hero inputs'!C2:E2)</x:f>
        <x:v>0.345</x:v>
      </x:c>
      <x:c r="D2" s="18" t="n">
        <x:f>ROUND('Rating assumptions'!$B$4*('Hero inputs'!J2/'Rating assumptions'!$B$3)*'Rating assumptions'!$B$2/C2,0)</x:f>
        <x:v>133</x:v>
      </x:c>
      <x:c r="E2" s="18" t="n">
        <x:f>ROUND('Rating assumptions'!$B$4*('Hero inputs'!L2/'Rating assumptions'!$B$3)*'Rating assumptions'!$B$2/C2,0)</x:f>
        <x:v>0</x:v>
      </x:c>
      <x:c r="F2" s="18" t="n">
        <x:f>ROUND('Rating assumptions'!$B$4*('Hero inputs'!G2*'Rating assumptions'!$B$5+'Hero inputs'!H2*'Rating assumptions'!$B$6+'Hero inputs'!I2*'Rating assumptions'!$B$7),0)</x:f>
        <x:v>109</x:v>
      </x:c>
      <x:c r="G2" s="18" t="n">
        <x:f>ROUND('Rating assumptions'!$B$4*C2/'Rating assumptions'!$B$2,0)</x:f>
        <x:v>75</x:v>
      </x:c>
      <x:c r="H2" s="16" t="n">
        <x:f>'Rating assumptions'!$B$8/C2</x:f>
        <x:v>23.188405797101453</x:v>
      </x:c>
      <x:c r="I2" s="18" t="n">
        <x:f>MAX('Rating assumptions'!$B$10,MIN('Rating assumptions'!$B$11,ROUND('Hero inputs'!C2*'Rating assumptions'!$B$9,0)))</x:f>
        <x:v>3</x:v>
      </x:c>
      <x:c r="J2" s="18" t="n">
        <x:f>MAX('Rating assumptions'!$B$12,MIN('Rating assumptions'!$B$13,ROUND('Hero inputs'!D2*'Rating assumptions'!$B$14,0)))</x:f>
        <x:v>5</x:v>
      </x:c>
      <x:c r="K2" s="18" t="n">
        <x:f>ROUNDUP(MAX('Hero inputs'!E2,'Hero inputs'!F2)*'Rating assumptions'!$B$9,0)</x:f>
        <x:v>13</x:v>
      </x:c>
    </x:row>
    <x:row r="3" ht="32" customHeight="1">
      <x:c r="A3" s="4" t="str">
        <x:f>'Hero inputs'!A3</x:f>
        <x:v>kossay</x:v>
      </x:c>
      <x:c r="B3" s="4" t="str">
        <x:f>'Hero inputs'!B3</x:f>
        <x:v>Kael</x:v>
      </x:c>
      <x:c r="C3" s="14" t="n">
        <x:f>SUM('Hero inputs'!C3:E3)</x:f>
        <x:v>0.265</x:v>
      </x:c>
      <x:c r="D3" s="18" t="n">
        <x:f>ROUND('Rating assumptions'!$B$4*('Hero inputs'!J3/'Rating assumptions'!$B$3)*'Rating assumptions'!$B$2/C3,0)</x:f>
        <x:v>174</x:v>
      </x:c>
      <x:c r="E3" s="18" t="n">
        <x:f>ROUND('Rating assumptions'!$B$4*('Hero inputs'!L3/'Rating assumptions'!$B$3)*'Rating assumptions'!$B$2/C3,0)</x:f>
        <x:v>0</x:v>
      </x:c>
      <x:c r="F3" s="18" t="n">
        <x:f>ROUND('Rating assumptions'!$B$4*('Hero inputs'!G3*'Rating assumptions'!$B$5+'Hero inputs'!H3*'Rating assumptions'!$B$6+'Hero inputs'!I3*'Rating assumptions'!$B$7),0)</x:f>
        <x:v>114</x:v>
      </x:c>
      <x:c r="G3" s="18" t="n">
        <x:f>ROUND('Rating assumptions'!$B$4*C3/'Rating assumptions'!$B$2,0)</x:f>
        <x:v>58</x:v>
      </x:c>
      <x:c r="H3" s="16" t="n">
        <x:f>'Rating assumptions'!$B$8/C3</x:f>
        <x:v>30.188679245283016</x:v>
      </x:c>
      <x:c r="I3" s="18" t="n">
        <x:f>MAX('Rating assumptions'!$B$10,MIN('Rating assumptions'!$B$11,ROUND('Hero inputs'!C3*'Rating assumptions'!$B$9,0)))</x:f>
        <x:v>3</x:v>
      </x:c>
      <x:c r="J3" s="18" t="n">
        <x:f>MAX('Rating assumptions'!$B$12,MIN('Rating assumptions'!$B$13,ROUND('Hero inputs'!D3*'Rating assumptions'!$B$14,0)))</x:f>
        <x:v>4</x:v>
      </x:c>
      <x:c r="K3" s="18" t="n">
        <x:f>ROUNDUP(MAX('Hero inputs'!E3,'Hero inputs'!F3)*'Rating assumptions'!$B$9,0)</x:f>
        <x:v>11</x:v>
      </x:c>
    </x:row>
    <x:row r="4" ht="32" customHeight="1">
      <x:c r="A4" s="4" t="str">
        <x:f>'Hero inputs'!A4</x:f>
        <x:v>yakine</x:v>
      </x:c>
      <x:c r="B4" s="4" t="str">
        <x:f>'Hero inputs'!B4</x:f>
        <x:v>Astra</x:v>
      </x:c>
      <x:c r="C4" s="14" t="n">
        <x:f>SUM('Hero inputs'!C4:E4)</x:f>
        <x:v>0.5900000000000001</x:v>
      </x:c>
      <x:c r="D4" s="18" t="n">
        <x:f>ROUND('Rating assumptions'!$B$4*('Hero inputs'!J4/'Rating assumptions'!$B$3)*'Rating assumptions'!$B$2/C4,0)</x:f>
        <x:v>78</x:v>
      </x:c>
      <x:c r="E4" s="18" t="n">
        <x:f>ROUND('Rating assumptions'!$B$4*('Hero inputs'!L4/'Rating assumptions'!$B$3)*'Rating assumptions'!$B$2/C4,0)</x:f>
        <x:v>117</x:v>
      </x:c>
      <x:c r="F4" s="18" t="n">
        <x:f>ROUND('Rating assumptions'!$B$4*('Hero inputs'!G4*'Rating assumptions'!$B$5+'Hero inputs'!H4*'Rating assumptions'!$B$6+'Hero inputs'!I4*'Rating assumptions'!$B$7),0)</x:f>
        <x:v>87</x:v>
      </x:c>
      <x:c r="G4" s="18" t="n">
        <x:f>ROUND('Rating assumptions'!$B$4*C4/'Rating assumptions'!$B$2,0)</x:f>
        <x:v>128</x:v>
      </x:c>
      <x:c r="H4" s="16" t="n">
        <x:f>'Rating assumptions'!$B$8/C4</x:f>
        <x:v>13.559322033898303</x:v>
      </x:c>
      <x:c r="I4" s="18" t="n">
        <x:f>MAX('Rating assumptions'!$B$10,MIN('Rating assumptions'!$B$11,ROUND('Hero inputs'!C4*'Rating assumptions'!$B$9,0)))</x:f>
        <x:v>6</x:v>
      </x:c>
      <x:c r="J4" s="18" t="n">
        <x:f>MAX('Rating assumptions'!$B$12,MIN('Rating assumptions'!$B$13,ROUND('Hero inputs'!D4*'Rating assumptions'!$B$14,0)))</x:f>
        <x:v>4</x:v>
      </x:c>
      <x:c r="K4" s="18" t="n">
        <x:f>ROUNDUP(MAX('Hero inputs'!E4,'Hero inputs'!F4)*'Rating assumptions'!$B$9,0)</x:f>
        <x:v>18</x:v>
      </x:c>
    </x:row>
    <x:row r="5" ht="32" customHeight="1">
      <x:c r="A5" s="4" t="str">
        <x:f>'Hero inputs'!A5</x:f>
        <x:v>taky</x:v>
      </x:c>
      <x:c r="B5" s="4" t="str">
        <x:f>'Hero inputs'!B5</x:f>
        <x:v>Nyx</x:v>
      </x:c>
      <x:c r="C5" s="14" t="n">
        <x:f>SUM('Hero inputs'!C5:E5)</x:f>
        <x:v>0.30500000000000005</x:v>
      </x:c>
      <x:c r="D5" s="18" t="n">
        <x:f>ROUND('Rating assumptions'!$B$4*('Hero inputs'!J5/'Rating assumptions'!$B$3)*'Rating assumptions'!$B$2/C5,0)</x:f>
        <x:v>151</x:v>
      </x:c>
      <x:c r="E5" s="18" t="n">
        <x:f>ROUND('Rating assumptions'!$B$4*('Hero inputs'!L5/'Rating assumptions'!$B$3)*'Rating assumptions'!$B$2/C5,0)</x:f>
        <x:v>0</x:v>
      </x:c>
      <x:c r="F5" s="18" t="n">
        <x:f>ROUND('Rating assumptions'!$B$4*('Hero inputs'!G5*'Rating assumptions'!$B$5+'Hero inputs'!H5*'Rating assumptions'!$B$6+'Hero inputs'!I5*'Rating assumptions'!$B$7),0)</x:f>
        <x:v>118</x:v>
      </x:c>
      <x:c r="G5" s="18" t="n">
        <x:f>ROUND('Rating assumptions'!$B$4*C5/'Rating assumptions'!$B$2,0)</x:f>
        <x:v>66</x:v>
      </x:c>
      <x:c r="H5" s="16" t="n">
        <x:f>'Rating assumptions'!$B$8/C5</x:f>
        <x:v>26.22950819672131</x:v>
      </x:c>
      <x:c r="I5" s="18" t="n">
        <x:f>MAX('Rating assumptions'!$B$10,MIN('Rating assumptions'!$B$11,ROUND('Hero inputs'!C5*'Rating assumptions'!$B$9,0)))</x:f>
        <x:v>3</x:v>
      </x:c>
      <x:c r="J5" s="18" t="n">
        <x:f>MAX('Rating assumptions'!$B$12,MIN('Rating assumptions'!$B$13,ROUND('Hero inputs'!D5*'Rating assumptions'!$B$14,0)))</x:f>
        <x:v>4</x:v>
      </x:c>
      <x:c r="K5" s="18" t="n">
        <x:f>ROUNDUP(MAX('Hero inputs'!E5,'Hero inputs'!F5)*'Rating assumptions'!$B$9,0)</x:f>
        <x:v>10</x:v>
      </x:c>
    </x:row>
    <x:row r="6" ht="32" customHeight="1">
      <x:c r="A6" s="4" t="str">
        <x:f>'Hero inputs'!A6</x:f>
        <x:v>garsi</x:v>
      </x:c>
      <x:c r="B6" s="4" t="str">
        <x:f>'Hero inputs'!B6</x:f>
        <x:v>Bront</x:v>
      </x:c>
      <x:c r="C6" s="14" t="n">
        <x:f>SUM('Hero inputs'!C6:E6)</x:f>
        <x:v>0.6799999999999999</x:v>
      </x:c>
      <x:c r="D6" s="18" t="n">
        <x:f>ROUND('Rating assumptions'!$B$4*('Hero inputs'!J6/'Rating assumptions'!$B$3)*'Rating assumptions'!$B$2/C6,0)</x:f>
        <x:v>101</x:v>
      </x:c>
      <x:c r="E6" s="18" t="n">
        <x:f>ROUND('Rating assumptions'!$B$4*('Hero inputs'!L6/'Rating assumptions'!$B$3)*'Rating assumptions'!$B$2/C6,0)</x:f>
        <x:v>0</x:v>
      </x:c>
      <x:c r="F6" s="18" t="n">
        <x:f>ROUND('Rating assumptions'!$B$4*('Hero inputs'!G6*'Rating assumptions'!$B$5+'Hero inputs'!H6*'Rating assumptions'!$B$6+'Hero inputs'!I6*'Rating assumptions'!$B$7),0)</x:f>
        <x:v>75</x:v>
      </x:c>
      <x:c r="G6" s="18" t="n">
        <x:f>ROUND('Rating assumptions'!$B$4*C6/'Rating assumptions'!$B$2,0)</x:f>
        <x:v>148</x:v>
      </x:c>
      <x:c r="H6" s="16" t="n">
        <x:f>'Rating assumptions'!$B$8/C6</x:f>
        <x:v>11.764705882352942</x:v>
      </x:c>
      <x:c r="I6" s="18" t="n">
        <x:f>MAX('Rating assumptions'!$B$10,MIN('Rating assumptions'!$B$11,ROUND('Hero inputs'!C6*'Rating assumptions'!$B$9,0)))</x:f>
        <x:v>6</x:v>
      </x:c>
      <x:c r="J6" s="18" t="n">
        <x:f>MAX('Rating assumptions'!$B$12,MIN('Rating assumptions'!$B$13,ROUND('Hero inputs'!D6*'Rating assumptions'!$B$14,0)))</x:f>
        <x:v>5</x:v>
      </x:c>
      <x:c r="K6" s="18" t="n">
        <x:f>ROUNDUP(MAX('Hero inputs'!E6,'Hero inputs'!F6)*'Rating assumptions'!$B$9,0)</x:f>
        <x:v>20</x:v>
      </x:c>
    </x:row>
    <x:row r="7" ht="32" customHeight="1">
      <x:c r="A7" s="4" t="str">
        <x:f>'Hero inputs'!A7</x:f>
        <x:v>tounsi</x:v>
      </x:c>
      <x:c r="B7" s="4" t="str">
        <x:f>'Hero inputs'!B7</x:f>
        <x:v>Zephyr</x:v>
      </x:c>
      <x:c r="C7" s="14" t="n">
        <x:f>SUM('Hero inputs'!C7:E7)</x:f>
        <x:v>0.44</x:v>
      </x:c>
      <x:c r="D7" s="18" t="n">
        <x:f>ROUND('Rating assumptions'!$B$4*('Hero inputs'!J7/'Rating assumptions'!$B$3)*'Rating assumptions'!$B$2/C7,0)</x:f>
        <x:v>105</x:v>
      </x:c>
      <x:c r="E7" s="18" t="n">
        <x:f>ROUND('Rating assumptions'!$B$4*('Hero inputs'!L7/'Rating assumptions'!$B$3)*'Rating assumptions'!$B$2/C7,0)</x:f>
        <x:v>0</x:v>
      </x:c>
      <x:c r="F7" s="18" t="n">
        <x:f>ROUND('Rating assumptions'!$B$4*('Hero inputs'!G7*'Rating assumptions'!$B$5+'Hero inputs'!H7*'Rating assumptions'!$B$6+'Hero inputs'!I7*'Rating assumptions'!$B$7),0)</x:f>
        <x:v>107</x:v>
      </x:c>
      <x:c r="G7" s="18" t="n">
        <x:f>ROUND('Rating assumptions'!$B$4*C7/'Rating assumptions'!$B$2,0)</x:f>
        <x:v>96</x:v>
      </x:c>
      <x:c r="H7" s="16" t="n">
        <x:f>'Rating assumptions'!$B$8/C7</x:f>
        <x:v>18.181818181818183</x:v>
      </x:c>
      <x:c r="I7" s="18" t="n">
        <x:f>MAX('Rating assumptions'!$B$10,MIN('Rating assumptions'!$B$11,ROUND('Hero inputs'!C7*'Rating assumptions'!$B$9,0)))</x:f>
        <x:v>4</x:v>
      </x:c>
      <x:c r="J7" s="18" t="n">
        <x:f>MAX('Rating assumptions'!$B$12,MIN('Rating assumptions'!$B$13,ROUND('Hero inputs'!D7*'Rating assumptions'!$B$14,0)))</x:f>
        <x:v>5</x:v>
      </x:c>
      <x:c r="K7" s="18" t="n">
        <x:f>ROUNDUP(MAX('Hero inputs'!E7,'Hero inputs'!F7)*'Rating assumptions'!$B$9,0)</x:f>
        <x:v>12</x:v>
      </x:c>
    </x:row>
    <x:row r="8" ht="32" customHeight="1">
      <x:c r="A8" s="4" t="str">
        <x:f>'Hero inputs'!A8</x:f>
        <x:v>youssef</x:v>
      </x:c>
      <x:c r="B8" s="4" t="str">
        <x:f>'Hero inputs'!B8</x:f>
        <x:v>Volt</x:v>
      </x:c>
      <x:c r="C8" s="14" t="n">
        <x:f>SUM('Hero inputs'!C8:E8)</x:f>
        <x:v>0.5</x:v>
      </x:c>
      <x:c r="D8" s="18" t="n">
        <x:f>ROUND('Rating assumptions'!$B$4*('Hero inputs'!J8/'Rating assumptions'!$B$3)*'Rating assumptions'!$B$2/C8,0)</x:f>
        <x:v>92</x:v>
      </x:c>
      <x:c r="E8" s="18" t="n">
        <x:f>ROUND('Rating assumptions'!$B$4*('Hero inputs'!L8/'Rating assumptions'!$B$3)*'Rating assumptions'!$B$2/C8,0)</x:f>
        <x:v>0</x:v>
      </x:c>
      <x:c r="F8" s="18" t="n">
        <x:f>ROUND('Rating assumptions'!$B$4*('Hero inputs'!G8*'Rating assumptions'!$B$5+'Hero inputs'!H8*'Rating assumptions'!$B$6+'Hero inputs'!I8*'Rating assumptions'!$B$7),0)</x:f>
        <x:v>97</x:v>
      </x:c>
      <x:c r="G8" s="18" t="n">
        <x:f>ROUND('Rating assumptions'!$B$4*C8/'Rating assumptions'!$B$2,0)</x:f>
        <x:v>109</x:v>
      </x:c>
      <x:c r="H8" s="16" t="n">
        <x:f>'Rating assumptions'!$B$8/C8</x:f>
        <x:v>16</x:v>
      </x:c>
      <x:c r="I8" s="18" t="n">
        <x:f>MAX('Rating assumptions'!$B$10,MIN('Rating assumptions'!$B$11,ROUND('Hero inputs'!C8*'Rating assumptions'!$B$9,0)))</x:f>
        <x:v>6</x:v>
      </x:c>
      <x:c r="J8" s="18" t="n">
        <x:f>MAX('Rating assumptions'!$B$12,MIN('Rating assumptions'!$B$13,ROUND('Hero inputs'!D8*'Rating assumptions'!$B$14,0)))</x:f>
        <x:v>3</x:v>
      </x:c>
      <x:c r="K8" s="18" t="n">
        <x:f>ROUNDUP(MAX('Hero inputs'!E8,'Hero inputs'!F8)*'Rating assumptions'!$B$9,0)</x:f>
        <x:v>18</x:v>
      </x:c>
    </x:row>
    <x:row r="9" ht="32" customHeight="1">
      <x:c r="A9" s="4" t="str">
        <x:f>'Hero inputs'!A9</x:f>
        <x:v>loey</x:v>
      </x:c>
      <x:c r="B9" s="4" t="str">
        <x:f>'Hero inputs'!B9</x:f>
        <x:v>Skye</x:v>
      </x:c>
      <x:c r="C9" s="14" t="n">
        <x:f>SUM('Hero inputs'!C9:E9)</x:f>
        <x:v>0.52</x:v>
      </x:c>
      <x:c r="D9" s="18" t="n">
        <x:f>ROUND('Rating assumptions'!$B$4*('Hero inputs'!J9/'Rating assumptions'!$B$3)*'Rating assumptions'!$B$2/C9,0)</x:f>
        <x:v>88</x:v>
      </x:c>
      <x:c r="E9" s="18" t="n">
        <x:f>ROUND('Rating assumptions'!$B$4*('Hero inputs'!L9/'Rating assumptions'!$B$3)*'Rating assumptions'!$B$2/C9,0)</x:f>
        <x:v>0</x:v>
      </x:c>
      <x:c r="F9" s="18" t="n">
        <x:f>ROUND('Rating assumptions'!$B$4*('Hero inputs'!G9*'Rating assumptions'!$B$5+'Hero inputs'!H9*'Rating assumptions'!$B$6+'Hero inputs'!I9*'Rating assumptions'!$B$7),0)</x:f>
        <x:v>108</x:v>
      </x:c>
      <x:c r="G9" s="18" t="n">
        <x:f>ROUND('Rating assumptions'!$B$4*C9/'Rating assumptions'!$B$2,0)</x:f>
        <x:v>113</x:v>
      </x:c>
      <x:c r="H9" s="16" t="n">
        <x:f>'Rating assumptions'!$B$8/C9</x:f>
        <x:v>15.384615384615383</x:v>
      </x:c>
      <x:c r="I9" s="18" t="n">
        <x:f>MAX('Rating assumptions'!$B$10,MIN('Rating assumptions'!$B$11,ROUND('Hero inputs'!C9*'Rating assumptions'!$B$9,0)))</x:f>
        <x:v>6</x:v>
      </x:c>
      <x:c r="J9" s="18" t="n">
        <x:f>MAX('Rating assumptions'!$B$12,MIN('Rating assumptions'!$B$13,ROUND('Hero inputs'!D9*'Rating assumptions'!$B$14,0)))</x:f>
        <x:v>3</x:v>
      </x:c>
      <x:c r="K9" s="18" t="n">
        <x:f>ROUNDUP(MAX('Hero inputs'!E9,'Hero inputs'!F9)*'Rating assumptions'!$B$9,0)</x:f>
        <x:v>15</x:v>
      </x:c>
    </x:row>
    <x:row r="10" ht="32" customHeight="1">
      <x:c r="A10" s="4" t="str">
        <x:f>'Hero inputs'!A10</x:f>
        <x:v>rayan</x:v>
      </x:c>
      <x:c r="B10" s="4" t="str">
        <x:f>'Hero inputs'!B10</x:f>
        <x:v>Sol</x:v>
      </x:c>
      <x:c r="C10" s="14" t="n">
        <x:f>SUM('Hero inputs'!C10:E10)</x:f>
        <x:v>0.46</x:v>
      </x:c>
      <x:c r="D10" s="18" t="n">
        <x:f>ROUND('Rating assumptions'!$B$4*('Hero inputs'!J10/'Rating assumptions'!$B$3)*'Rating assumptions'!$B$2/C10,0)</x:f>
        <x:v>100</x:v>
      </x:c>
      <x:c r="E10" s="18" t="n">
        <x:f>ROUND('Rating assumptions'!$B$4*('Hero inputs'!L10/'Rating assumptions'!$B$3)*'Rating assumptions'!$B$2/C10,0)</x:f>
        <x:v>0</x:v>
      </x:c>
      <x:c r="F10" s="18" t="n">
        <x:f>ROUND('Rating assumptions'!$B$4*('Hero inputs'!G10*'Rating assumptions'!$B$5+'Hero inputs'!H10*'Rating assumptions'!$B$6+'Hero inputs'!I10*'Rating assumptions'!$B$7),0)</x:f>
        <x:v>100</x:v>
      </x:c>
      <x:c r="G10" s="18" t="n">
        <x:f>ROUND('Rating assumptions'!$B$4*C10/'Rating assumptions'!$B$2,0)</x:f>
        <x:v>100</x:v>
      </x:c>
      <x:c r="H10" s="16" t="n">
        <x:f>'Rating assumptions'!$B$8/C10</x:f>
        <x:v>17.391304347826086</x:v>
      </x:c>
      <x:c r="I10" s="18" t="n">
        <x:f>MAX('Rating assumptions'!$B$10,MIN('Rating assumptions'!$B$11,ROUND('Hero inputs'!C10*'Rating assumptions'!$B$9,0)))</x:f>
        <x:v>5</x:v>
      </x:c>
      <x:c r="J10" s="18" t="n">
        <x:f>MAX('Rating assumptions'!$B$12,MIN('Rating assumptions'!$B$13,ROUND('Hero inputs'!D10*'Rating assumptions'!$B$14,0)))</x:f>
        <x:v>5</x:v>
      </x:c>
      <x:c r="K10" s="18" t="n">
        <x:f>ROUNDUP(MAX('Hero inputs'!E10,'Hero inputs'!F10)*'Rating assumptions'!$B$9,0)</x:f>
        <x:v>14</x:v>
      </x:c>
    </x:row>
    <x:row r="11" ht="32" customHeight="1">
      <x:c r="A11" s="4" t="str">
        <x:f>'Hero inputs'!A11</x:f>
        <x:v>mira</x:v>
      </x:c>
      <x:c r="B11" s="4" t="str">
        <x:f>'Hero inputs'!B11</x:f>
        <x:v>Rime</x:v>
      </x:c>
      <x:c r="C11" s="14" t="n">
        <x:f>SUM('Hero inputs'!C11:E11)</x:f>
        <x:v>0.46</x:v>
      </x:c>
      <x:c r="D11" s="18" t="n">
        <x:f>ROUND('Rating assumptions'!$B$4*('Hero inputs'!J11/'Rating assumptions'!$B$3)*'Rating assumptions'!$B$2/C11,0)</x:f>
        <x:v>100</x:v>
      </x:c>
      <x:c r="E11" s="18" t="n">
        <x:f>ROUND('Rating assumptions'!$B$4*('Hero inputs'!L11/'Rating assumptions'!$B$3)*'Rating assumptions'!$B$2/C11,0)</x:f>
        <x:v>100</x:v>
      </x:c>
      <x:c r="F11" s="18" t="n">
        <x:f>ROUND('Rating assumptions'!$B$4*('Hero inputs'!G11*'Rating assumptions'!$B$5+'Hero inputs'!H11*'Rating assumptions'!$B$6+'Hero inputs'!I11*'Rating assumptions'!$B$7),0)</x:f>
        <x:v>100</x:v>
      </x:c>
      <x:c r="G11" s="18" t="n">
        <x:f>ROUND('Rating assumptions'!$B$4*C11/'Rating assumptions'!$B$2,0)</x:f>
        <x:v>100</x:v>
      </x:c>
      <x:c r="H11" s="16" t="n">
        <x:f>'Rating assumptions'!$B$8/C11</x:f>
        <x:v>17.391304347826086</x:v>
      </x:c>
      <x:c r="I11" s="18" t="n">
        <x:f>MAX('Rating assumptions'!$B$10,MIN('Rating assumptions'!$B$11,ROUND('Hero inputs'!C11*'Rating assumptions'!$B$9,0)))</x:f>
        <x:v>5</x:v>
      </x:c>
      <x:c r="J11" s="18" t="n">
        <x:f>MAX('Rating assumptions'!$B$12,MIN('Rating assumptions'!$B$13,ROUND('Hero inputs'!D11*'Rating assumptions'!$B$14,0)))</x:f>
        <x:v>5</x:v>
      </x:c>
      <x:c r="K11" s="18" t="n">
        <x:f>ROUNDUP(MAX('Hero inputs'!E11,'Hero inputs'!F11)*'Rating assumptions'!$B$9,0)</x:f>
        <x:v>14</x:v>
      </x:c>
    </x:row>
  </x:sheetData>
  <x:conditionalFormatting sqref="D2:G11">
    <x:cfRule type="dataBar" priority="1">
      <x:dataBar>
        <x:cfvo type="min"/>
        <x:cfvo type="max"/>
        <x:color rgb="FFC9A555"/>
      </x:dataBar>
      <x:extLst>
        <x:ext xmlns:x14="http://schemas.microsoft.com/office/spreadsheetml/2009/9/main" uri="{B025F937-C7B1-47D3-B67F-A62EFF666E3E}">
          <x14:id>{BA81C772-EA05-6A4A-E5E0-6BD222EF2FB9}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cda6019b81e4b8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A81C772-EA05-6A4A-E5E0-6BD222EF2FB9}">
            <x14:dataBar gradient="0">
              <x14:cfvo type="min"/>
              <x14:cfvo type="max"/>
              <x14:fillColor rgb="FFC9A555"/>
            </x14:dataBar>
          </x14:cfRule>
          <xm:sqref>D2:G11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34" customHeight="1">
      <x:c r="A1" s="10" t="str">
        <x:v>Stable type</x:v>
      </x:c>
      <x:c r="B1" s="10" t="str">
        <x:v>Display weapon</x:v>
      </x:c>
      <x:c r="C1" s="10" t="str">
        <x:v>Min Power</x:v>
      </x:c>
      <x:c r="D1" s="10" t="str">
        <x:v>Min Magic</x:v>
      </x:c>
      <x:c r="E1" s="10" t="str">
        <x:v>Min Speed</x:v>
      </x:c>
      <x:c r="F1" s="10" t="str">
        <x:v>Min Stamina</x:v>
      </x:c>
    </x:row>
    <x:row r="2" ht="48" customHeight="1">
      <x:c r="A2" s="4" t="str">
        <x:v>gauntlet</x:v>
      </x:c>
      <x:c r="B2" s="4" t="str">
        <x:v>Gravity gauntlet</x:v>
      </x:c>
      <x:c r="C2" s="4" t="n">
        <x:v>100</x:v>
      </x:c>
      <x:c r="D2" s="4" t="n">
        <x:v>0</x:v>
      </x:c>
      <x:c r="E2" s="4" t="n">
        <x:v>100</x:v>
      </x:c>
      <x:c r="F2" s="4" t="n">
        <x:v>0</x:v>
      </x:c>
    </x:row>
    <x:row r="3" ht="48" customHeight="1">
      <x:c r="A3" s="4" t="str">
        <x:v>dual</x:v>
      </x:c>
      <x:c r="B3" s="4" t="str">
        <x:v>Twin Fang daggers</x:v>
      </x:c>
      <x:c r="C3" s="4" t="n">
        <x:v>120</x:v>
      </x:c>
      <x:c r="D3" s="4" t="n">
        <x:v>0</x:v>
      </x:c>
      <x:c r="E3" s="4" t="n">
        <x:v>105</x:v>
      </x:c>
      <x:c r="F3" s="4" t="n">
        <x:v>0</x:v>
      </x:c>
    </x:row>
    <x:row r="4" ht="48" customHeight="1">
      <x:c r="A4" s="4" t="str">
        <x:v>staff</x:v>
      </x:c>
      <x:c r="B4" s="4" t="str">
        <x:v>Orbit Crescent staff</x:v>
      </x:c>
      <x:c r="C4" s="4" t="n">
        <x:v>0</x:v>
      </x:c>
      <x:c r="D4" s="4" t="n">
        <x:v>50</x:v>
      </x:c>
      <x:c r="E4" s="4" t="n">
        <x:v>0</x:v>
      </x:c>
      <x:c r="F4" s="4" t="n">
        <x:v>0</x:v>
      </x:c>
    </x:row>
    <x:row r="5" ht="48" customHeight="1">
      <x:c r="A5" s="4" t="str">
        <x:v>dagger</x:v>
      </x:c>
      <x:c r="B5" s="4" t="str">
        <x:v>Shadow knife</x:v>
      </x:c>
      <x:c r="C5" s="4" t="n">
        <x:v>120</x:v>
      </x:c>
      <x:c r="D5" s="4" t="n">
        <x:v>0</x:v>
      </x:c>
      <x:c r="E5" s="4" t="n">
        <x:v>110</x:v>
      </x:c>
      <x:c r="F5" s="4" t="n">
        <x:v>0</x:v>
      </x:c>
    </x:row>
    <x:row r="6" ht="48" customHeight="1">
      <x:c r="A6" s="4" t="str">
        <x:v>shield</x:v>
      </x:c>
      <x:c r="B6" s="4" t="str">
        <x:v>Stonebreaker hammer</x:v>
      </x:c>
      <x:c r="C6" s="4" t="n">
        <x:v>95</x:v>
      </x:c>
      <x:c r="D6" s="4" t="n">
        <x:v>0</x:v>
      </x:c>
      <x:c r="E6" s="4" t="n">
        <x:v>0</x:v>
      </x:c>
      <x:c r="F6" s="4" t="n">
        <x:v>120</x:v>
      </x:c>
    </x:row>
    <x:row r="7" ht="48" customHeight="1">
      <x:c r="A7" s="4" t="str">
        <x:v>sabre</x:v>
      </x:c>
      <x:c r="B7" s="4" t="str">
        <x:v>Wind scimitar</x:v>
      </x:c>
      <x:c r="C7" s="4" t="n">
        <x:v>100</x:v>
      </x:c>
      <x:c r="D7" s="4" t="n">
        <x:v>0</x:v>
      </x:c>
      <x:c r="E7" s="4" t="n">
        <x:v>95</x:v>
      </x:c>
      <x:c r="F7" s="4" t="n">
        <x:v>0</x:v>
      </x:c>
    </x:row>
    <x:row r="8" ht="48" customHeight="1">
      <x:c r="A8" s="4" t="str">
        <x:v>gadget</x:v>
      </x:c>
      <x:c r="B8" s="4" t="str">
        <x:v>Clockwork knuckle</x:v>
      </x:c>
      <x:c r="C8" s="4" t="n">
        <x:v>0</x:v>
      </x:c>
      <x:c r="D8" s="4" t="n">
        <x:v>0</x:v>
      </x:c>
      <x:c r="E8" s="4" t="n">
        <x:v>90</x:v>
      </x:c>
      <x:c r="F8" s="4" t="n">
        <x:v>100</x:v>
      </x:c>
    </x:row>
    <x:row r="9" ht="48" customHeight="1">
      <x:c r="A9" s="4" t="str">
        <x:v>bow</x:v>
      </x:c>
      <x:c r="B9" s="4" t="str">
        <x:v>Sky bow</x:v>
      </x:c>
      <x:c r="C9" s="4" t="n">
        <x:v>0</x:v>
      </x:c>
      <x:c r="D9" s="4" t="n">
        <x:v>0</x:v>
      </x:c>
      <x:c r="E9" s="4" t="n">
        <x:v>100</x:v>
      </x:c>
      <x:c r="F9" s="4" t="n">
        <x:v>95</x:v>
      </x:c>
    </x:row>
    <x:row r="10" ht="48" customHeight="1">
      <x:c r="A10" s="4" t="str">
        <x:v>lance</x:v>
      </x:c>
      <x:c r="B10" s="4" t="str">
        <x:v>Sun lance</x:v>
      </x:c>
      <x:c r="C10" s="4" t="n">
        <x:v>95</x:v>
      </x:c>
      <x:c r="D10" s="4" t="n">
        <x:v>0</x:v>
      </x:c>
      <x:c r="E10" s="4" t="n">
        <x:v>0</x:v>
      </x:c>
      <x:c r="F10" s="4" t="n">
        <x:v>95</x:v>
      </x:c>
    </x:row>
    <x:row r="11" ht="48" customHeight="1">
      <x:c r="A11" s="4" t="str">
        <x:v>frost_staff</x:v>
      </x:c>
      <x:c r="B11" s="4" t="str">
        <x:v>Frost staff</x:v>
      </x:c>
      <x:c r="C11" s="4" t="n">
        <x:v>0</x:v>
      </x:c>
      <x:c r="D11" s="4" t="n">
        <x:v>50</x:v>
      </x:c>
      <x:c r="E11" s="4" t="n">
        <x:v>0</x:v>
      </x:c>
      <x:c r="F11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3385a9b6834ca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65" hidden="0" customWidth="1"/>
  </x:cols>
  <x:sheetData>
    <x:row r="1" ht="34" customHeight="1">
      <x:c r="A1" s="10" t="str">
        <x:v>Hero</x:v>
      </x:c>
      <x:c r="B1" s="10" t="str">
        <x:v>gauntlet</x:v>
      </x:c>
      <x:c r="C1" s="10" t="str">
        <x:v>dual</x:v>
      </x:c>
      <x:c r="D1" s="10" t="str">
        <x:v>staff</x:v>
      </x:c>
      <x:c r="E1" s="10" t="str">
        <x:v>dagger</x:v>
      </x:c>
      <x:c r="F1" s="10" t="str">
        <x:v>shield</x:v>
      </x:c>
      <x:c r="G1" s="10" t="str">
        <x:v>sabre</x:v>
      </x:c>
      <x:c r="H1" s="10" t="str">
        <x:v>gadget</x:v>
      </x:c>
      <x:c r="I1" s="10" t="str">
        <x:v>bow</x:v>
      </x:c>
      <x:c r="J1" s="10" t="str">
        <x:v>lance</x:v>
      </x:c>
      <x:c r="K1" s="10" t="str">
        <x:v>frost_staff</x:v>
      </x:c>
      <x:c r="L1" s="10" t="str">
        <x:v>Art gate</x:v>
      </x:c>
    </x:row>
    <x:row r="2" ht="48" customHeight="1">
      <x:c r="A2" s="4" t="str">
        <x:f>'Hero stats'!B2</x:f>
        <x:v>Wissem</x:v>
      </x:c>
      <x:c r="B2" s="4" t="str">
        <x:f>IF(AND('Hero stats'!$D2&gt;='Weapon rules'!$C$2,'Hero stats'!$E2&gt;='Weapon rules'!$D$2,'Hero stats'!$F2&gt;='Weapon rules'!$E$2,'Hero stats'!$G2&gt;='Weapon rules'!$F$2),"PASS","—")</x:f>
        <x:v>PASS</x:v>
      </x:c>
      <x:c r="C2" s="4" t="str">
        <x:f>IF(AND('Hero stats'!$D2&gt;='Weapon rules'!$C$3,'Hero stats'!$E2&gt;='Weapon rules'!$D$3,'Hero stats'!$F2&gt;='Weapon rules'!$E$3,'Hero stats'!$G2&gt;='Weapon rules'!$F$3),"PASS","—")</x:f>
        <x:v>PASS</x:v>
      </x:c>
      <x:c r="D2" s="4" t="str">
        <x:f>IF(AND('Hero stats'!$D2&gt;='Weapon rules'!$C$4,'Hero stats'!$E2&gt;='Weapon rules'!$D$4,'Hero stats'!$F2&gt;='Weapon rules'!$E$4,'Hero stats'!$G2&gt;='Weapon rules'!$F$4),"PASS","—")</x:f>
        <x:v>—</x:v>
      </x:c>
      <x:c r="E2" s="4" t="str">
        <x:f>IF(AND('Hero stats'!$D2&gt;='Weapon rules'!$C$5,'Hero stats'!$E2&gt;='Weapon rules'!$D$5,'Hero stats'!$F2&gt;='Weapon rules'!$E$5,'Hero stats'!$G2&gt;='Weapon rules'!$F$5),"PASS","—")</x:f>
        <x:v>—</x:v>
      </x:c>
      <x:c r="F2" s="4" t="str">
        <x:f>IF(AND('Hero stats'!$D2&gt;='Weapon rules'!$C$6,'Hero stats'!$E2&gt;='Weapon rules'!$D$6,'Hero stats'!$F2&gt;='Weapon rules'!$E$6,'Hero stats'!$G2&gt;='Weapon rules'!$F$6),"PASS","—")</x:f>
        <x:v>—</x:v>
      </x:c>
      <x:c r="G2" s="4" t="str">
        <x:f>IF(AND('Hero stats'!$D2&gt;='Weapon rules'!$C$7,'Hero stats'!$E2&gt;='Weapon rules'!$D$7,'Hero stats'!$F2&gt;='Weapon rules'!$E$7,'Hero stats'!$G2&gt;='Weapon rules'!$F$7),"PASS","—")</x:f>
        <x:v>PASS</x:v>
      </x:c>
      <x:c r="H2" s="4" t="str">
        <x:f>IF(AND('Hero stats'!$D2&gt;='Weapon rules'!$C$8,'Hero stats'!$E2&gt;='Weapon rules'!$D$8,'Hero stats'!$F2&gt;='Weapon rules'!$E$8,'Hero stats'!$G2&gt;='Weapon rules'!$F$8),"PASS","—")</x:f>
        <x:v>—</x:v>
      </x:c>
      <x:c r="I2" s="4" t="str">
        <x:f>IF(AND('Hero stats'!$D2&gt;='Weapon rules'!$C$9,'Hero stats'!$E2&gt;='Weapon rules'!$D$9,'Hero stats'!$F2&gt;='Weapon rules'!$E$9,'Hero stats'!$G2&gt;='Weapon rules'!$F$9),"PASS","—")</x:f>
        <x:v>—</x:v>
      </x:c>
      <x:c r="J2" s="4" t="str">
        <x:f>IF(AND('Hero stats'!$D2&gt;='Weapon rules'!$C$10,'Hero stats'!$E2&gt;='Weapon rules'!$D$10,'Hero stats'!$F2&gt;='Weapon rules'!$E$10,'Hero stats'!$G2&gt;='Weapon rules'!$F$10),"PASS","—")</x:f>
        <x:v>—</x:v>
      </x:c>
      <x:c r="K2" s="4" t="str">
        <x:f>IF(AND('Hero stats'!$D2&gt;='Weapon rules'!$C$11,'Hero stats'!$E2&gt;='Weapon rules'!$D$11,'Hero stats'!$F2&gt;='Weapon rules'!$E$11,'Hero stats'!$G2&gt;='Weapon rules'!$F$11),"PASS","—")</x:f>
        <x:v>—</x:v>
      </x:c>
      <x:c r="L2" s="4" t="str">
        <x:v>Wissem: qualified foreign weapon visuals allowed</x:v>
      </x:c>
    </x:row>
    <x:row r="3" ht="48" customHeight="1">
      <x:c r="A3" s="4" t="str">
        <x:f>'Hero stats'!B3</x:f>
        <x:v>Kael</x:v>
      </x:c>
      <x:c r="B3" s="4" t="str">
        <x:f>IF(AND('Hero stats'!$D3&gt;='Weapon rules'!$C$2,'Hero stats'!$E3&gt;='Weapon rules'!$D$2,'Hero stats'!$F3&gt;='Weapon rules'!$E$2,'Hero stats'!$G3&gt;='Weapon rules'!$F$2),"PASS","—")</x:f>
        <x:v>PASS</x:v>
      </x:c>
      <x:c r="C3" s="4" t="str">
        <x:f>IF(AND('Hero stats'!$D3&gt;='Weapon rules'!$C$3,'Hero stats'!$E3&gt;='Weapon rules'!$D$3,'Hero stats'!$F3&gt;='Weapon rules'!$E$3,'Hero stats'!$G3&gt;='Weapon rules'!$F$3),"PASS","—")</x:f>
        <x:v>PASS</x:v>
      </x:c>
      <x:c r="D3" s="4" t="str">
        <x:f>IF(AND('Hero stats'!$D3&gt;='Weapon rules'!$C$4,'Hero stats'!$E3&gt;='Weapon rules'!$D$4,'Hero stats'!$F3&gt;='Weapon rules'!$E$4,'Hero stats'!$G3&gt;='Weapon rules'!$F$4),"PASS","—")</x:f>
        <x:v>—</x:v>
      </x:c>
      <x:c r="E3" s="4" t="str">
        <x:f>IF(AND('Hero stats'!$D3&gt;='Weapon rules'!$C$5,'Hero stats'!$E3&gt;='Weapon rules'!$D$5,'Hero stats'!$F3&gt;='Weapon rules'!$E$5,'Hero stats'!$G3&gt;='Weapon rules'!$F$5),"PASS","—")</x:f>
        <x:v>PASS</x:v>
      </x:c>
      <x:c r="F3" s="4" t="str">
        <x:f>IF(AND('Hero stats'!$D3&gt;='Weapon rules'!$C$6,'Hero stats'!$E3&gt;='Weapon rules'!$D$6,'Hero stats'!$F3&gt;='Weapon rules'!$E$6,'Hero stats'!$G3&gt;='Weapon rules'!$F$6),"PASS","—")</x:f>
        <x:v>—</x:v>
      </x:c>
      <x:c r="G3" s="4" t="str">
        <x:f>IF(AND('Hero stats'!$D3&gt;='Weapon rules'!$C$7,'Hero stats'!$E3&gt;='Weapon rules'!$D$7,'Hero stats'!$F3&gt;='Weapon rules'!$E$7,'Hero stats'!$G3&gt;='Weapon rules'!$F$7),"PASS","—")</x:f>
        <x:v>PASS</x:v>
      </x:c>
      <x:c r="H3" s="4" t="str">
        <x:f>IF(AND('Hero stats'!$D3&gt;='Weapon rules'!$C$8,'Hero stats'!$E3&gt;='Weapon rules'!$D$8,'Hero stats'!$F3&gt;='Weapon rules'!$E$8,'Hero stats'!$G3&gt;='Weapon rules'!$F$8),"PASS","—")</x:f>
        <x:v>—</x:v>
      </x:c>
      <x:c r="I3" s="4" t="str">
        <x:f>IF(AND('Hero stats'!$D3&gt;='Weapon rules'!$C$9,'Hero stats'!$E3&gt;='Weapon rules'!$D$9,'Hero stats'!$F3&gt;='Weapon rules'!$E$9,'Hero stats'!$G3&gt;='Weapon rules'!$F$9),"PASS","—")</x:f>
        <x:v>—</x:v>
      </x:c>
      <x:c r="J3" s="4" t="str">
        <x:f>IF(AND('Hero stats'!$D3&gt;='Weapon rules'!$C$10,'Hero stats'!$E3&gt;='Weapon rules'!$D$10,'Hero stats'!$F3&gt;='Weapon rules'!$E$10,'Hero stats'!$G3&gt;='Weapon rules'!$F$10),"PASS","—")</x:f>
        <x:v>—</x:v>
      </x:c>
      <x:c r="K3" s="4" t="str">
        <x:f>IF(AND('Hero stats'!$D3&gt;='Weapon rules'!$C$11,'Hero stats'!$E3&gt;='Weapon rules'!$D$11,'Hero stats'!$F3&gt;='Weapon rules'!$E$11,'Hero stats'!$G3&gt;='Weapon rules'!$F$11),"PASS","—")</x:f>
        <x:v>—</x:v>
      </x:c>
      <x:c r="L3" s="4" t="str">
        <x:v>Baked body: signature or unarmed only; other stat-PASS classes art-blocked</x:v>
      </x:c>
    </x:row>
    <x:row r="4" ht="48" customHeight="1">
      <x:c r="A4" s="4" t="str">
        <x:f>'Hero stats'!B4</x:f>
        <x:v>Astra</x:v>
      </x:c>
      <x:c r="B4" s="4" t="str">
        <x:f>IF(AND('Hero stats'!$D4&gt;='Weapon rules'!$C$2,'Hero stats'!$E4&gt;='Weapon rules'!$D$2,'Hero stats'!$F4&gt;='Weapon rules'!$E$2,'Hero stats'!$G4&gt;='Weapon rules'!$F$2),"PASS","—")</x:f>
        <x:v>—</x:v>
      </x:c>
      <x:c r="C4" s="4" t="str">
        <x:f>IF(AND('Hero stats'!$D4&gt;='Weapon rules'!$C$3,'Hero stats'!$E4&gt;='Weapon rules'!$D$3,'Hero stats'!$F4&gt;='Weapon rules'!$E$3,'Hero stats'!$G4&gt;='Weapon rules'!$F$3),"PASS","—")</x:f>
        <x:v>—</x:v>
      </x:c>
      <x:c r="D4" s="4" t="str">
        <x:f>IF(AND('Hero stats'!$D4&gt;='Weapon rules'!$C$4,'Hero stats'!$E4&gt;='Weapon rules'!$D$4,'Hero stats'!$F4&gt;='Weapon rules'!$E$4,'Hero stats'!$G4&gt;='Weapon rules'!$F$4),"PASS","—")</x:f>
        <x:v>PASS</x:v>
      </x:c>
      <x:c r="E4" s="4" t="str">
        <x:f>IF(AND('Hero stats'!$D4&gt;='Weapon rules'!$C$5,'Hero stats'!$E4&gt;='Weapon rules'!$D$5,'Hero stats'!$F4&gt;='Weapon rules'!$E$5,'Hero stats'!$G4&gt;='Weapon rules'!$F$5),"PASS","—")</x:f>
        <x:v>—</x:v>
      </x:c>
      <x:c r="F4" s="4" t="str">
        <x:f>IF(AND('Hero stats'!$D4&gt;='Weapon rules'!$C$6,'Hero stats'!$E4&gt;='Weapon rules'!$D$6,'Hero stats'!$F4&gt;='Weapon rules'!$E$6,'Hero stats'!$G4&gt;='Weapon rules'!$F$6),"PASS","—")</x:f>
        <x:v>—</x:v>
      </x:c>
      <x:c r="G4" s="4" t="str">
        <x:f>IF(AND('Hero stats'!$D4&gt;='Weapon rules'!$C$7,'Hero stats'!$E4&gt;='Weapon rules'!$D$7,'Hero stats'!$F4&gt;='Weapon rules'!$E$7,'Hero stats'!$G4&gt;='Weapon rules'!$F$7),"PASS","—")</x:f>
        <x:v>—</x:v>
      </x:c>
      <x:c r="H4" s="4" t="str">
        <x:f>IF(AND('Hero stats'!$D4&gt;='Weapon rules'!$C$8,'Hero stats'!$E4&gt;='Weapon rules'!$D$8,'Hero stats'!$F4&gt;='Weapon rules'!$E$8,'Hero stats'!$G4&gt;='Weapon rules'!$F$8),"PASS","—")</x:f>
        <x:v>—</x:v>
      </x:c>
      <x:c r="I4" s="4" t="str">
        <x:f>IF(AND('Hero stats'!$D4&gt;='Weapon rules'!$C$9,'Hero stats'!$E4&gt;='Weapon rules'!$D$9,'Hero stats'!$F4&gt;='Weapon rules'!$E$9,'Hero stats'!$G4&gt;='Weapon rules'!$F$9),"PASS","—")</x:f>
        <x:v>—</x:v>
      </x:c>
      <x:c r="J4" s="4" t="str">
        <x:f>IF(AND('Hero stats'!$D4&gt;='Weapon rules'!$C$10,'Hero stats'!$E4&gt;='Weapon rules'!$D$10,'Hero stats'!$F4&gt;='Weapon rules'!$E$10,'Hero stats'!$G4&gt;='Weapon rules'!$F$10),"PASS","—")</x:f>
        <x:v>—</x:v>
      </x:c>
      <x:c r="K4" s="4" t="str">
        <x:f>IF(AND('Hero stats'!$D4&gt;='Weapon rules'!$C$11,'Hero stats'!$E4&gt;='Weapon rules'!$D$11,'Hero stats'!$F4&gt;='Weapon rules'!$E$11,'Hero stats'!$G4&gt;='Weapon rules'!$F$11),"PASS","—")</x:f>
        <x:v>PASS</x:v>
      </x:c>
      <x:c r="L4" s="4" t="str">
        <x:v>Baked body: signature or unarmed only; other stat-PASS classes art-blocked</x:v>
      </x:c>
    </x:row>
    <x:row r="5" ht="48" customHeight="1">
      <x:c r="A5" s="4" t="str">
        <x:f>'Hero stats'!B5</x:f>
        <x:v>Nyx</x:v>
      </x:c>
      <x:c r="B5" s="4" t="str">
        <x:f>IF(AND('Hero stats'!$D5&gt;='Weapon rules'!$C$2,'Hero stats'!$E5&gt;='Weapon rules'!$D$2,'Hero stats'!$F5&gt;='Weapon rules'!$E$2,'Hero stats'!$G5&gt;='Weapon rules'!$F$2),"PASS","—")</x:f>
        <x:v>PASS</x:v>
      </x:c>
      <x:c r="C5" s="4" t="str">
        <x:f>IF(AND('Hero stats'!$D5&gt;='Weapon rules'!$C$3,'Hero stats'!$E5&gt;='Weapon rules'!$D$3,'Hero stats'!$F5&gt;='Weapon rules'!$E$3,'Hero stats'!$G5&gt;='Weapon rules'!$F$3),"PASS","—")</x:f>
        <x:v>PASS</x:v>
      </x:c>
      <x:c r="D5" s="4" t="str">
        <x:f>IF(AND('Hero stats'!$D5&gt;='Weapon rules'!$C$4,'Hero stats'!$E5&gt;='Weapon rules'!$D$4,'Hero stats'!$F5&gt;='Weapon rules'!$E$4,'Hero stats'!$G5&gt;='Weapon rules'!$F$4),"PASS","—")</x:f>
        <x:v>—</x:v>
      </x:c>
      <x:c r="E5" s="4" t="str">
        <x:f>IF(AND('Hero stats'!$D5&gt;='Weapon rules'!$C$5,'Hero stats'!$E5&gt;='Weapon rules'!$D$5,'Hero stats'!$F5&gt;='Weapon rules'!$E$5,'Hero stats'!$G5&gt;='Weapon rules'!$F$5),"PASS","—")</x:f>
        <x:v>PASS</x:v>
      </x:c>
      <x:c r="F5" s="4" t="str">
        <x:f>IF(AND('Hero stats'!$D5&gt;='Weapon rules'!$C$6,'Hero stats'!$E5&gt;='Weapon rules'!$D$6,'Hero stats'!$F5&gt;='Weapon rules'!$E$6,'Hero stats'!$G5&gt;='Weapon rules'!$F$6),"PASS","—")</x:f>
        <x:v>—</x:v>
      </x:c>
      <x:c r="G5" s="4" t="str">
        <x:f>IF(AND('Hero stats'!$D5&gt;='Weapon rules'!$C$7,'Hero stats'!$E5&gt;='Weapon rules'!$D$7,'Hero stats'!$F5&gt;='Weapon rules'!$E$7,'Hero stats'!$G5&gt;='Weapon rules'!$F$7),"PASS","—")</x:f>
        <x:v>PASS</x:v>
      </x:c>
      <x:c r="H5" s="4" t="str">
        <x:f>IF(AND('Hero stats'!$D5&gt;='Weapon rules'!$C$8,'Hero stats'!$E5&gt;='Weapon rules'!$D$8,'Hero stats'!$F5&gt;='Weapon rules'!$E$8,'Hero stats'!$G5&gt;='Weapon rules'!$F$8),"PASS","—")</x:f>
        <x:v>—</x:v>
      </x:c>
      <x:c r="I5" s="4" t="str">
        <x:f>IF(AND('Hero stats'!$D5&gt;='Weapon rules'!$C$9,'Hero stats'!$E5&gt;='Weapon rules'!$D$9,'Hero stats'!$F5&gt;='Weapon rules'!$E$9,'Hero stats'!$G5&gt;='Weapon rules'!$F$9),"PASS","—")</x:f>
        <x:v>—</x:v>
      </x:c>
      <x:c r="J5" s="4" t="str">
        <x:f>IF(AND('Hero stats'!$D5&gt;='Weapon rules'!$C$10,'Hero stats'!$E5&gt;='Weapon rules'!$D$10,'Hero stats'!$F5&gt;='Weapon rules'!$E$10,'Hero stats'!$G5&gt;='Weapon rules'!$F$10),"PASS","—")</x:f>
        <x:v>—</x:v>
      </x:c>
      <x:c r="K5" s="4" t="str">
        <x:f>IF(AND('Hero stats'!$D5&gt;='Weapon rules'!$C$11,'Hero stats'!$E5&gt;='Weapon rules'!$D$11,'Hero stats'!$F5&gt;='Weapon rules'!$E$11,'Hero stats'!$G5&gt;='Weapon rules'!$F$11),"PASS","—")</x:f>
        <x:v>—</x:v>
      </x:c>
      <x:c r="L5" s="4" t="str">
        <x:v>Baked body: signature or unarmed only; other stat-PASS classes art-blocked</x:v>
      </x:c>
    </x:row>
    <x:row r="6" ht="48" customHeight="1">
      <x:c r="A6" s="4" t="str">
        <x:f>'Hero stats'!B6</x:f>
        <x:v>Bront</x:v>
      </x:c>
      <x:c r="B6" s="4" t="str">
        <x:f>IF(AND('Hero stats'!$D6&gt;='Weapon rules'!$C$2,'Hero stats'!$E6&gt;='Weapon rules'!$D$2,'Hero stats'!$F6&gt;='Weapon rules'!$E$2,'Hero stats'!$G6&gt;='Weapon rules'!$F$2),"PASS","—")</x:f>
        <x:v>—</x:v>
      </x:c>
      <x:c r="C6" s="4" t="str">
        <x:f>IF(AND('Hero stats'!$D6&gt;='Weapon rules'!$C$3,'Hero stats'!$E6&gt;='Weapon rules'!$D$3,'Hero stats'!$F6&gt;='Weapon rules'!$E$3,'Hero stats'!$G6&gt;='Weapon rules'!$F$3),"PASS","—")</x:f>
        <x:v>—</x:v>
      </x:c>
      <x:c r="D6" s="4" t="str">
        <x:f>IF(AND('Hero stats'!$D6&gt;='Weapon rules'!$C$4,'Hero stats'!$E6&gt;='Weapon rules'!$D$4,'Hero stats'!$F6&gt;='Weapon rules'!$E$4,'Hero stats'!$G6&gt;='Weapon rules'!$F$4),"PASS","—")</x:f>
        <x:v>—</x:v>
      </x:c>
      <x:c r="E6" s="4" t="str">
        <x:f>IF(AND('Hero stats'!$D6&gt;='Weapon rules'!$C$5,'Hero stats'!$E6&gt;='Weapon rules'!$D$5,'Hero stats'!$F6&gt;='Weapon rules'!$E$5,'Hero stats'!$G6&gt;='Weapon rules'!$F$5),"PASS","—")</x:f>
        <x:v>—</x:v>
      </x:c>
      <x:c r="F6" s="4" t="str">
        <x:f>IF(AND('Hero stats'!$D6&gt;='Weapon rules'!$C$6,'Hero stats'!$E6&gt;='Weapon rules'!$D$6,'Hero stats'!$F6&gt;='Weapon rules'!$E$6,'Hero stats'!$G6&gt;='Weapon rules'!$F$6),"PASS","—")</x:f>
        <x:v>PASS</x:v>
      </x:c>
      <x:c r="G6" s="4" t="str">
        <x:f>IF(AND('Hero stats'!$D6&gt;='Weapon rules'!$C$7,'Hero stats'!$E6&gt;='Weapon rules'!$D$7,'Hero stats'!$F6&gt;='Weapon rules'!$E$7,'Hero stats'!$G6&gt;='Weapon rules'!$F$7),"PASS","—")</x:f>
        <x:v>—</x:v>
      </x:c>
      <x:c r="H6" s="4" t="str">
        <x:f>IF(AND('Hero stats'!$D6&gt;='Weapon rules'!$C$8,'Hero stats'!$E6&gt;='Weapon rules'!$D$8,'Hero stats'!$F6&gt;='Weapon rules'!$E$8,'Hero stats'!$G6&gt;='Weapon rules'!$F$8),"PASS","—")</x:f>
        <x:v>—</x:v>
      </x:c>
      <x:c r="I6" s="4" t="str">
        <x:f>IF(AND('Hero stats'!$D6&gt;='Weapon rules'!$C$9,'Hero stats'!$E6&gt;='Weapon rules'!$D$9,'Hero stats'!$F6&gt;='Weapon rules'!$E$9,'Hero stats'!$G6&gt;='Weapon rules'!$F$9),"PASS","—")</x:f>
        <x:v>—</x:v>
      </x:c>
      <x:c r="J6" s="4" t="str">
        <x:f>IF(AND('Hero stats'!$D6&gt;='Weapon rules'!$C$10,'Hero stats'!$E6&gt;='Weapon rules'!$D$10,'Hero stats'!$F6&gt;='Weapon rules'!$E$10,'Hero stats'!$G6&gt;='Weapon rules'!$F$10),"PASS","—")</x:f>
        <x:v>PASS</x:v>
      </x:c>
      <x:c r="K6" s="4" t="str">
        <x:f>IF(AND('Hero stats'!$D6&gt;='Weapon rules'!$C$11,'Hero stats'!$E6&gt;='Weapon rules'!$D$11,'Hero stats'!$F6&gt;='Weapon rules'!$E$11,'Hero stats'!$G6&gt;='Weapon rules'!$F$11),"PASS","—")</x:f>
        <x:v>—</x:v>
      </x:c>
      <x:c r="L6" s="4" t="str">
        <x:v>Baked body: signature or unarmed only; other stat-PASS classes art-blocked</x:v>
      </x:c>
    </x:row>
    <x:row r="7" ht="48" customHeight="1">
      <x:c r="A7" s="4" t="str">
        <x:f>'Hero stats'!B7</x:f>
        <x:v>Zephyr</x:v>
      </x:c>
      <x:c r="B7" s="4" t="str">
        <x:f>IF(AND('Hero stats'!$D7&gt;='Weapon rules'!$C$2,'Hero stats'!$E7&gt;='Weapon rules'!$D$2,'Hero stats'!$F7&gt;='Weapon rules'!$E$2,'Hero stats'!$G7&gt;='Weapon rules'!$F$2),"PASS","—")</x:f>
        <x:v>PASS</x:v>
      </x:c>
      <x:c r="C7" s="4" t="str">
        <x:f>IF(AND('Hero stats'!$D7&gt;='Weapon rules'!$C$3,'Hero stats'!$E7&gt;='Weapon rules'!$D$3,'Hero stats'!$F7&gt;='Weapon rules'!$E$3,'Hero stats'!$G7&gt;='Weapon rules'!$F$3),"PASS","—")</x:f>
        <x:v>—</x:v>
      </x:c>
      <x:c r="D7" s="4" t="str">
        <x:f>IF(AND('Hero stats'!$D7&gt;='Weapon rules'!$C$4,'Hero stats'!$E7&gt;='Weapon rules'!$D$4,'Hero stats'!$F7&gt;='Weapon rules'!$E$4,'Hero stats'!$G7&gt;='Weapon rules'!$F$4),"PASS","—")</x:f>
        <x:v>—</x:v>
      </x:c>
      <x:c r="E7" s="4" t="str">
        <x:f>IF(AND('Hero stats'!$D7&gt;='Weapon rules'!$C$5,'Hero stats'!$E7&gt;='Weapon rules'!$D$5,'Hero stats'!$F7&gt;='Weapon rules'!$E$5,'Hero stats'!$G7&gt;='Weapon rules'!$F$5),"PASS","—")</x:f>
        <x:v>—</x:v>
      </x:c>
      <x:c r="F7" s="4" t="str">
        <x:f>IF(AND('Hero stats'!$D7&gt;='Weapon rules'!$C$6,'Hero stats'!$E7&gt;='Weapon rules'!$D$6,'Hero stats'!$F7&gt;='Weapon rules'!$E$6,'Hero stats'!$G7&gt;='Weapon rules'!$F$6),"PASS","—")</x:f>
        <x:v>—</x:v>
      </x:c>
      <x:c r="G7" s="4" t="str">
        <x:f>IF(AND('Hero stats'!$D7&gt;='Weapon rules'!$C$7,'Hero stats'!$E7&gt;='Weapon rules'!$D$7,'Hero stats'!$F7&gt;='Weapon rules'!$E$7,'Hero stats'!$G7&gt;='Weapon rules'!$F$7),"PASS","—")</x:f>
        <x:v>PASS</x:v>
      </x:c>
      <x:c r="H7" s="4" t="str">
        <x:f>IF(AND('Hero stats'!$D7&gt;='Weapon rules'!$C$8,'Hero stats'!$E7&gt;='Weapon rules'!$D$8,'Hero stats'!$F7&gt;='Weapon rules'!$E$8,'Hero stats'!$G7&gt;='Weapon rules'!$F$8),"PASS","—")</x:f>
        <x:v>—</x:v>
      </x:c>
      <x:c r="I7" s="4" t="str">
        <x:f>IF(AND('Hero stats'!$D7&gt;='Weapon rules'!$C$9,'Hero stats'!$E7&gt;='Weapon rules'!$D$9,'Hero stats'!$F7&gt;='Weapon rules'!$E$9,'Hero stats'!$G7&gt;='Weapon rules'!$F$9),"PASS","—")</x:f>
        <x:v>PASS</x:v>
      </x:c>
      <x:c r="J7" s="4" t="str">
        <x:f>IF(AND('Hero stats'!$D7&gt;='Weapon rules'!$C$10,'Hero stats'!$E7&gt;='Weapon rules'!$D$10,'Hero stats'!$F7&gt;='Weapon rules'!$E$10,'Hero stats'!$G7&gt;='Weapon rules'!$F$10),"PASS","—")</x:f>
        <x:v>PASS</x:v>
      </x:c>
      <x:c r="K7" s="4" t="str">
        <x:f>IF(AND('Hero stats'!$D7&gt;='Weapon rules'!$C$11,'Hero stats'!$E7&gt;='Weapon rules'!$D$11,'Hero stats'!$F7&gt;='Weapon rules'!$E$11,'Hero stats'!$G7&gt;='Weapon rules'!$F$11),"PASS","—")</x:f>
        <x:v>—</x:v>
      </x:c>
      <x:c r="L7" s="4" t="str">
        <x:v>Baked body: signature or unarmed only; other stat-PASS classes art-blocked</x:v>
      </x:c>
    </x:row>
    <x:row r="8" ht="48" customHeight="1">
      <x:c r="A8" s="4" t="str">
        <x:f>'Hero stats'!B8</x:f>
        <x:v>Volt</x:v>
      </x:c>
      <x:c r="B8" s="4" t="str">
        <x:f>IF(AND('Hero stats'!$D8&gt;='Weapon rules'!$C$2,'Hero stats'!$E8&gt;='Weapon rules'!$D$2,'Hero stats'!$F8&gt;='Weapon rules'!$E$2,'Hero stats'!$G8&gt;='Weapon rules'!$F$2),"PASS","—")</x:f>
        <x:v>—</x:v>
      </x:c>
      <x:c r="C8" s="4" t="str">
        <x:f>IF(AND('Hero stats'!$D8&gt;='Weapon rules'!$C$3,'Hero stats'!$E8&gt;='Weapon rules'!$D$3,'Hero stats'!$F8&gt;='Weapon rules'!$E$3,'Hero stats'!$G8&gt;='Weapon rules'!$F$3),"PASS","—")</x:f>
        <x:v>—</x:v>
      </x:c>
      <x:c r="D8" s="4" t="str">
        <x:f>IF(AND('Hero stats'!$D8&gt;='Weapon rules'!$C$4,'Hero stats'!$E8&gt;='Weapon rules'!$D$4,'Hero stats'!$F8&gt;='Weapon rules'!$E$4,'Hero stats'!$G8&gt;='Weapon rules'!$F$4),"PASS","—")</x:f>
        <x:v>—</x:v>
      </x:c>
      <x:c r="E8" s="4" t="str">
        <x:f>IF(AND('Hero stats'!$D8&gt;='Weapon rules'!$C$5,'Hero stats'!$E8&gt;='Weapon rules'!$D$5,'Hero stats'!$F8&gt;='Weapon rules'!$E$5,'Hero stats'!$G8&gt;='Weapon rules'!$F$5),"PASS","—")</x:f>
        <x:v>—</x:v>
      </x:c>
      <x:c r="F8" s="4" t="str">
        <x:f>IF(AND('Hero stats'!$D8&gt;='Weapon rules'!$C$6,'Hero stats'!$E8&gt;='Weapon rules'!$D$6,'Hero stats'!$F8&gt;='Weapon rules'!$E$6,'Hero stats'!$G8&gt;='Weapon rules'!$F$6),"PASS","—")</x:f>
        <x:v>—</x:v>
      </x:c>
      <x:c r="G8" s="4" t="str">
        <x:f>IF(AND('Hero stats'!$D8&gt;='Weapon rules'!$C$7,'Hero stats'!$E8&gt;='Weapon rules'!$D$7,'Hero stats'!$F8&gt;='Weapon rules'!$E$7,'Hero stats'!$G8&gt;='Weapon rules'!$F$7),"PASS","—")</x:f>
        <x:v>—</x:v>
      </x:c>
      <x:c r="H8" s="4" t="str">
        <x:f>IF(AND('Hero stats'!$D8&gt;='Weapon rules'!$C$8,'Hero stats'!$E8&gt;='Weapon rules'!$D$8,'Hero stats'!$F8&gt;='Weapon rules'!$E$8,'Hero stats'!$G8&gt;='Weapon rules'!$F$8),"PASS","—")</x:f>
        <x:v>PASS</x:v>
      </x:c>
      <x:c r="I8" s="4" t="str">
        <x:f>IF(AND('Hero stats'!$D8&gt;='Weapon rules'!$C$9,'Hero stats'!$E8&gt;='Weapon rules'!$D$9,'Hero stats'!$F8&gt;='Weapon rules'!$E$9,'Hero stats'!$G8&gt;='Weapon rules'!$F$9),"PASS","—")</x:f>
        <x:v>—</x:v>
      </x:c>
      <x:c r="J8" s="4" t="str">
        <x:f>IF(AND('Hero stats'!$D8&gt;='Weapon rules'!$C$10,'Hero stats'!$E8&gt;='Weapon rules'!$D$10,'Hero stats'!$F8&gt;='Weapon rules'!$E$10,'Hero stats'!$G8&gt;='Weapon rules'!$F$10),"PASS","—")</x:f>
        <x:v>—</x:v>
      </x:c>
      <x:c r="K8" s="4" t="str">
        <x:f>IF(AND('Hero stats'!$D8&gt;='Weapon rules'!$C$11,'Hero stats'!$E8&gt;='Weapon rules'!$D$11,'Hero stats'!$F8&gt;='Weapon rules'!$E$11,'Hero stats'!$G8&gt;='Weapon rules'!$F$11),"PASS","—")</x:f>
        <x:v>—</x:v>
      </x:c>
      <x:c r="L8" s="4" t="str">
        <x:v>Baked body: signature or unarmed only; other stat-PASS classes art-blocked</x:v>
      </x:c>
    </x:row>
    <x:row r="9" ht="48" customHeight="1">
      <x:c r="A9" s="4" t="str">
        <x:f>'Hero stats'!B9</x:f>
        <x:v>Skye</x:v>
      </x:c>
      <x:c r="B9" s="4" t="str">
        <x:f>IF(AND('Hero stats'!$D9&gt;='Weapon rules'!$C$2,'Hero stats'!$E9&gt;='Weapon rules'!$D$2,'Hero stats'!$F9&gt;='Weapon rules'!$E$2,'Hero stats'!$G9&gt;='Weapon rules'!$F$2),"PASS","—")</x:f>
        <x:v>—</x:v>
      </x:c>
      <x:c r="C9" s="4" t="str">
        <x:f>IF(AND('Hero stats'!$D9&gt;='Weapon rules'!$C$3,'Hero stats'!$E9&gt;='Weapon rules'!$D$3,'Hero stats'!$F9&gt;='Weapon rules'!$E$3,'Hero stats'!$G9&gt;='Weapon rules'!$F$3),"PASS","—")</x:f>
        <x:v>—</x:v>
      </x:c>
      <x:c r="D9" s="4" t="str">
        <x:f>IF(AND('Hero stats'!$D9&gt;='Weapon rules'!$C$4,'Hero stats'!$E9&gt;='Weapon rules'!$D$4,'Hero stats'!$F9&gt;='Weapon rules'!$E$4,'Hero stats'!$G9&gt;='Weapon rules'!$F$4),"PASS","—")</x:f>
        <x:v>—</x:v>
      </x:c>
      <x:c r="E9" s="4" t="str">
        <x:f>IF(AND('Hero stats'!$D9&gt;='Weapon rules'!$C$5,'Hero stats'!$E9&gt;='Weapon rules'!$D$5,'Hero stats'!$F9&gt;='Weapon rules'!$E$5,'Hero stats'!$G9&gt;='Weapon rules'!$F$5),"PASS","—")</x:f>
        <x:v>—</x:v>
      </x:c>
      <x:c r="F9" s="4" t="str">
        <x:f>IF(AND('Hero stats'!$D9&gt;='Weapon rules'!$C$6,'Hero stats'!$E9&gt;='Weapon rules'!$D$6,'Hero stats'!$F9&gt;='Weapon rules'!$E$6,'Hero stats'!$G9&gt;='Weapon rules'!$F$6),"PASS","—")</x:f>
        <x:v>—</x:v>
      </x:c>
      <x:c r="G9" s="4" t="str">
        <x:f>IF(AND('Hero stats'!$D9&gt;='Weapon rules'!$C$7,'Hero stats'!$E9&gt;='Weapon rules'!$D$7,'Hero stats'!$F9&gt;='Weapon rules'!$E$7,'Hero stats'!$G9&gt;='Weapon rules'!$F$7),"PASS","—")</x:f>
        <x:v>—</x:v>
      </x:c>
      <x:c r="H9" s="4" t="str">
        <x:f>IF(AND('Hero stats'!$D9&gt;='Weapon rules'!$C$8,'Hero stats'!$E9&gt;='Weapon rules'!$D$8,'Hero stats'!$F9&gt;='Weapon rules'!$E$8,'Hero stats'!$G9&gt;='Weapon rules'!$F$8),"PASS","—")</x:f>
        <x:v>PASS</x:v>
      </x:c>
      <x:c r="I9" s="4" t="str">
        <x:f>IF(AND('Hero stats'!$D9&gt;='Weapon rules'!$C$9,'Hero stats'!$E9&gt;='Weapon rules'!$D$9,'Hero stats'!$F9&gt;='Weapon rules'!$E$9,'Hero stats'!$G9&gt;='Weapon rules'!$F$9),"PASS","—")</x:f>
        <x:v>PASS</x:v>
      </x:c>
      <x:c r="J9" s="4" t="str">
        <x:f>IF(AND('Hero stats'!$D9&gt;='Weapon rules'!$C$10,'Hero stats'!$E9&gt;='Weapon rules'!$D$10,'Hero stats'!$F9&gt;='Weapon rules'!$E$10,'Hero stats'!$G9&gt;='Weapon rules'!$F$10),"PASS","—")</x:f>
        <x:v>—</x:v>
      </x:c>
      <x:c r="K9" s="4" t="str">
        <x:f>IF(AND('Hero stats'!$D9&gt;='Weapon rules'!$C$11,'Hero stats'!$E9&gt;='Weapon rules'!$D$11,'Hero stats'!$F9&gt;='Weapon rules'!$E$11,'Hero stats'!$G9&gt;='Weapon rules'!$F$11),"PASS","—")</x:f>
        <x:v>—</x:v>
      </x:c>
      <x:c r="L9" s="4" t="str">
        <x:v>Baked body: signature or unarmed only; other stat-PASS classes art-blocked</x:v>
      </x:c>
    </x:row>
    <x:row r="10" ht="48" customHeight="1">
      <x:c r="A10" s="4" t="str">
        <x:f>'Hero stats'!B10</x:f>
        <x:v>Sol</x:v>
      </x:c>
      <x:c r="B10" s="4" t="str">
        <x:f>IF(AND('Hero stats'!$D10&gt;='Weapon rules'!$C$2,'Hero stats'!$E10&gt;='Weapon rules'!$D$2,'Hero stats'!$F10&gt;='Weapon rules'!$E$2,'Hero stats'!$G10&gt;='Weapon rules'!$F$2),"PASS","—")</x:f>
        <x:v>PASS</x:v>
      </x:c>
      <x:c r="C10" s="4" t="str">
        <x:f>IF(AND('Hero stats'!$D10&gt;='Weapon rules'!$C$3,'Hero stats'!$E10&gt;='Weapon rules'!$D$3,'Hero stats'!$F10&gt;='Weapon rules'!$E$3,'Hero stats'!$G10&gt;='Weapon rules'!$F$3),"PASS","—")</x:f>
        <x:v>—</x:v>
      </x:c>
      <x:c r="D10" s="4" t="str">
        <x:f>IF(AND('Hero stats'!$D10&gt;='Weapon rules'!$C$4,'Hero stats'!$E10&gt;='Weapon rules'!$D$4,'Hero stats'!$F10&gt;='Weapon rules'!$E$4,'Hero stats'!$G10&gt;='Weapon rules'!$F$4),"PASS","—")</x:f>
        <x:v>—</x:v>
      </x:c>
      <x:c r="E10" s="4" t="str">
        <x:f>IF(AND('Hero stats'!$D10&gt;='Weapon rules'!$C$5,'Hero stats'!$E10&gt;='Weapon rules'!$D$5,'Hero stats'!$F10&gt;='Weapon rules'!$E$5,'Hero stats'!$G10&gt;='Weapon rules'!$F$5),"PASS","—")</x:f>
        <x:v>—</x:v>
      </x:c>
      <x:c r="F10" s="4" t="str">
        <x:f>IF(AND('Hero stats'!$D10&gt;='Weapon rules'!$C$6,'Hero stats'!$E10&gt;='Weapon rules'!$D$6,'Hero stats'!$F10&gt;='Weapon rules'!$E$6,'Hero stats'!$G10&gt;='Weapon rules'!$F$6),"PASS","—")</x:f>
        <x:v>—</x:v>
      </x:c>
      <x:c r="G10" s="4" t="str">
        <x:f>IF(AND('Hero stats'!$D10&gt;='Weapon rules'!$C$7,'Hero stats'!$E10&gt;='Weapon rules'!$D$7,'Hero stats'!$F10&gt;='Weapon rules'!$E$7,'Hero stats'!$G10&gt;='Weapon rules'!$F$7),"PASS","—")</x:f>
        <x:v>PASS</x:v>
      </x:c>
      <x:c r="H10" s="4" t="str">
        <x:f>IF(AND('Hero stats'!$D10&gt;='Weapon rules'!$C$8,'Hero stats'!$E10&gt;='Weapon rules'!$D$8,'Hero stats'!$F10&gt;='Weapon rules'!$E$8,'Hero stats'!$G10&gt;='Weapon rules'!$F$8),"PASS","—")</x:f>
        <x:v>PASS</x:v>
      </x:c>
      <x:c r="I10" s="4" t="str">
        <x:f>IF(AND('Hero stats'!$D10&gt;='Weapon rules'!$C$9,'Hero stats'!$E10&gt;='Weapon rules'!$D$9,'Hero stats'!$F10&gt;='Weapon rules'!$E$9,'Hero stats'!$G10&gt;='Weapon rules'!$F$9),"PASS","—")</x:f>
        <x:v>PASS</x:v>
      </x:c>
      <x:c r="J10" s="4" t="str">
        <x:f>IF(AND('Hero stats'!$D10&gt;='Weapon rules'!$C$10,'Hero stats'!$E10&gt;='Weapon rules'!$D$10,'Hero stats'!$F10&gt;='Weapon rules'!$E$10,'Hero stats'!$G10&gt;='Weapon rules'!$F$10),"PASS","—")</x:f>
        <x:v>PASS</x:v>
      </x:c>
      <x:c r="K10" s="4" t="str">
        <x:f>IF(AND('Hero stats'!$D10&gt;='Weapon rules'!$C$11,'Hero stats'!$E10&gt;='Weapon rules'!$D$11,'Hero stats'!$F10&gt;='Weapon rules'!$E$11,'Hero stats'!$G10&gt;='Weapon rules'!$F$11),"PASS","—")</x:f>
        <x:v>—</x:v>
      </x:c>
      <x:c r="L10" s="4" t="str">
        <x:v>Baked body: signature or unarmed only; other stat-PASS classes art-blocked</x:v>
      </x:c>
    </x:row>
    <x:row r="11" ht="48" customHeight="1">
      <x:c r="A11" s="4" t="str">
        <x:f>'Hero stats'!B11</x:f>
        <x:v>Rime</x:v>
      </x:c>
      <x:c r="B11" s="4" t="str">
        <x:f>IF(AND('Hero stats'!$D11&gt;='Weapon rules'!$C$2,'Hero stats'!$E11&gt;='Weapon rules'!$D$2,'Hero stats'!$F11&gt;='Weapon rules'!$E$2,'Hero stats'!$G11&gt;='Weapon rules'!$F$2),"PASS","—")</x:f>
        <x:v>PASS</x:v>
      </x:c>
      <x:c r="C11" s="4" t="str">
        <x:f>IF(AND('Hero stats'!$D11&gt;='Weapon rules'!$C$3,'Hero stats'!$E11&gt;='Weapon rules'!$D$3,'Hero stats'!$F11&gt;='Weapon rules'!$E$3,'Hero stats'!$G11&gt;='Weapon rules'!$F$3),"PASS","—")</x:f>
        <x:v>—</x:v>
      </x:c>
      <x:c r="D11" s="4" t="str">
        <x:f>IF(AND('Hero stats'!$D11&gt;='Weapon rules'!$C$4,'Hero stats'!$E11&gt;='Weapon rules'!$D$4,'Hero stats'!$F11&gt;='Weapon rules'!$E$4,'Hero stats'!$G11&gt;='Weapon rules'!$F$4),"PASS","—")</x:f>
        <x:v>PASS</x:v>
      </x:c>
      <x:c r="E11" s="4" t="str">
        <x:f>IF(AND('Hero stats'!$D11&gt;='Weapon rules'!$C$5,'Hero stats'!$E11&gt;='Weapon rules'!$D$5,'Hero stats'!$F11&gt;='Weapon rules'!$E$5,'Hero stats'!$G11&gt;='Weapon rules'!$F$5),"PASS","—")</x:f>
        <x:v>—</x:v>
      </x:c>
      <x:c r="F11" s="4" t="str">
        <x:f>IF(AND('Hero stats'!$D11&gt;='Weapon rules'!$C$6,'Hero stats'!$E11&gt;='Weapon rules'!$D$6,'Hero stats'!$F11&gt;='Weapon rules'!$E$6,'Hero stats'!$G11&gt;='Weapon rules'!$F$6),"PASS","—")</x:f>
        <x:v>—</x:v>
      </x:c>
      <x:c r="G11" s="4" t="str">
        <x:f>IF(AND('Hero stats'!$D11&gt;='Weapon rules'!$C$7,'Hero stats'!$E11&gt;='Weapon rules'!$D$7,'Hero stats'!$F11&gt;='Weapon rules'!$E$7,'Hero stats'!$G11&gt;='Weapon rules'!$F$7),"PASS","—")</x:f>
        <x:v>PASS</x:v>
      </x:c>
      <x:c r="H11" s="4" t="str">
        <x:f>IF(AND('Hero stats'!$D11&gt;='Weapon rules'!$C$8,'Hero stats'!$E11&gt;='Weapon rules'!$D$8,'Hero stats'!$F11&gt;='Weapon rules'!$E$8,'Hero stats'!$G11&gt;='Weapon rules'!$F$8),"PASS","—")</x:f>
        <x:v>PASS</x:v>
      </x:c>
      <x:c r="I11" s="4" t="str">
        <x:f>IF(AND('Hero stats'!$D11&gt;='Weapon rules'!$C$9,'Hero stats'!$E11&gt;='Weapon rules'!$D$9,'Hero stats'!$F11&gt;='Weapon rules'!$E$9,'Hero stats'!$G11&gt;='Weapon rules'!$F$9),"PASS","—")</x:f>
        <x:v>PASS</x:v>
      </x:c>
      <x:c r="J11" s="4" t="str">
        <x:f>IF(AND('Hero stats'!$D11&gt;='Weapon rules'!$C$10,'Hero stats'!$E11&gt;='Weapon rules'!$D$10,'Hero stats'!$F11&gt;='Weapon rules'!$E$10,'Hero stats'!$G11&gt;='Weapon rules'!$F$10),"PASS","—")</x:f>
        <x:v>PASS</x:v>
      </x:c>
      <x:c r="K11" s="4" t="str">
        <x:f>IF(AND('Hero stats'!$D11&gt;='Weapon rules'!$C$11,'Hero stats'!$E11&gt;='Weapon rules'!$D$11,'Hero stats'!$F11&gt;='Weapon rules'!$E$11,'Hero stats'!$G11&gt;='Weapon rules'!$F$11),"PASS","—")</x:f>
        <x:v>PASS</x:v>
      </x:c>
      <x:c r="L11" s="4" t="str">
        <x:v>Baked body: signature or unarmed only; other stat-PASS classes art-blocked</x:v>
      </x:c>
    </x:row>
  </x:sheetData>
  <x:conditionalFormatting sqref="B2:K11">
    <x:cfRule type="expression" dxfId="0" priority="1">
      <x:formula>B2="PASS"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6b8901fa2742e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7" hidden="0" customWidth="1"/>
    <x:col min="3" max="3" width="65" hidden="0" customWidth="1"/>
    <x:col min="4" max="4" width="67" hidden="0" customWidth="1"/>
    <x:col min="5" max="5" width="54" hidden="0" customWidth="1"/>
  </x:cols>
  <x:sheetData>
    <x:row r="1" ht="34" customHeight="1">
      <x:c r="A1" s="10" t="str">
        <x:v>Type</x:v>
      </x:c>
      <x:c r="B1" s="10" t="str">
        <x:v>Local source</x:v>
      </x:c>
      <x:c r="C1" s="10" t="str">
        <x:v>Included / destination path</x:v>
      </x:c>
      <x:c r="D1" s="10" t="str">
        <x:v>SHA-256</x:v>
      </x:c>
      <x:c r="E1" s="10" t="str">
        <x:v>Verification</x:v>
      </x:c>
    </x:row>
    <x:row r="2" ht="48" customHeight="1">
      <x:c r="A2" s="4" t="str">
        <x:v>source candidate</x:v>
      </x:c>
      <x:c r="B2" s="4" t="str">
        <x:v>Super-Wiss-1.3.1-Source-Candidate.zip</x:v>
      </x:c>
      <x:c r="C2" s="4" t="str">
        <x:v>project root</x:v>
      </x:c>
      <x:c r="D2" s="4" t="str">
        <x:v>5329bfaa93ef8230dda8576cb95b330157acc141ff2171b8598052503ce64282</x:v>
      </x:c>
      <x:c r="E2" s="4" t="str">
        <x:v>Original archive supplied locally</x:v>
      </x:c>
    </x:row>
    <x:row r="3" ht="48" customHeight="1">
      <x:c r="A3" s="4" t="str">
        <x:v>weapon source</x:v>
      </x:c>
      <x:c r="B3" s="4" t="str">
        <x:v>Heroes_weapons-assets.zip</x:v>
      </x:c>
      <x:c r="C3" s="4" t="str">
        <x:v>assets/weapons/ (10 original PNGs)</x:v>
      </x:c>
      <x:c r="D3" s="4" t="str">
        <x:v>e713fe4995f5d6b52109bef08e21c417980fd46465a19fbb697480e919f19801</x:v>
      </x:c>
      <x:c r="E3" s="4" t="str">
        <x:v>Original archive supplied locally</x:v>
      </x:c>
    </x:row>
    <x:row r="4" ht="48" customHeight="1">
      <x:c r="A4" s="4" t="str">
        <x:v>skill</x:v>
      </x:c>
      <x:c r="B4" s="4" t="str">
        <x:v>action-combat-movement-feel.zip</x:v>
      </x:c>
      <x:c r="C4" s="4" t="str">
        <x:v>agent-skills/action-combat-movement-feel/SKILL.md</x:v>
      </x:c>
      <x:c r="D4" s="4" t="str">
        <x:v>9f6a4de029425078b549889486591b4983aaaec9c681c7b8a8454186c3d16b5e</x:v>
      </x:c>
      <x:c r="E4" s="4" t="str">
        <x:v>full SKILL.md read before implementation</x:v>
      </x:c>
    </x:row>
    <x:row r="5" ht="48" customHeight="1">
      <x:c r="A5" s="4" t="str">
        <x:v>skill</x:v>
      </x:c>
      <x:c r="B5" s="4" t="str">
        <x:v>ads-monetization-rewarded-interstitial.zip</x:v>
      </x:c>
      <x:c r="C5" s="4" t="str">
        <x:v>agent-skills/ads-monetization-rewarded-interstitial/SKILL.md</x:v>
      </x:c>
      <x:c r="D5" s="4" t="str">
        <x:v>c5bdfee571e612d7640fbad1040e05587a2945b335d026a70793a2e9cd67e331</x:v>
      </x:c>
      <x:c r="E5" s="4" t="str">
        <x:v>full SKILL.md read before implementation</x:v>
      </x:c>
    </x:row>
    <x:row r="6" ht="48" customHeight="1">
      <x:c r="A6" s="4" t="str">
        <x:v>skill</x:v>
      </x:c>
      <x:c r="B6" s="4" t="str">
        <x:v>aso-store-listing.zip</x:v>
      </x:c>
      <x:c r="C6" s="4" t="str">
        <x:v>agent-skills/aso-store-listing/SKILL.md</x:v>
      </x:c>
      <x:c r="D6" s="4" t="str">
        <x:v>0c6139a85224625819b75afc077c87882cac4a64be74e5f74350b21c0c227915</x:v>
      </x:c>
      <x:c r="E6" s="4" t="str">
        <x:v>full SKILL.md read before implementation</x:v>
      </x:c>
    </x:row>
    <x:row r="7" ht="48" customHeight="1">
      <x:c r="A7" s="4" t="str">
        <x:v>skill</x:v>
      </x:c>
      <x:c r="B7" s="4" t="str">
        <x:v>audio-sfx-vo-emotes.zip</x:v>
      </x:c>
      <x:c r="C7" s="4" t="str">
        <x:v>agent-skills/audio-sfx-vo-emotes/SKILL.md</x:v>
      </x:c>
      <x:c r="D7" s="4" t="str">
        <x:v>4d5da0ca9700230266fe63465cb9cd0527aa4e6baabd8c8ced870babbae8c67f</x:v>
      </x:c>
      <x:c r="E7" s="4" t="str">
        <x:v>full SKILL.md read before implementation</x:v>
      </x:c>
    </x:row>
    <x:row r="8" ht="48" customHeight="1">
      <x:c r="A8" s="4" t="str">
        <x:v>skill</x:v>
      </x:c>
      <x:c r="B8" s="4" t="str">
        <x:v>character-narrative-skills-pets.zip</x:v>
      </x:c>
      <x:c r="C8" s="4" t="str">
        <x:v>agent-skills/character-narrative-skills-pets/SKILL.md</x:v>
      </x:c>
      <x:c r="D8" s="4" t="str">
        <x:v>c8fe8873fb54767f4130c99d3ee70860dd028565a56659c9ab0290ad259b219a</x:v>
      </x:c>
      <x:c r="E8" s="4" t="str">
        <x:v>full SKILL.md read before implementation</x:v>
      </x:c>
    </x:row>
    <x:row r="9" ht="48" customHeight="1">
      <x:c r="A9" s="4" t="str">
        <x:v>skill</x:v>
      </x:c>
      <x:c r="B9" s="4" t="str">
        <x:v>game-economy-balancing.zip</x:v>
      </x:c>
      <x:c r="C9" s="4" t="str">
        <x:v>agent-skills/game-economy-balancing/SKILL.md</x:v>
      </x:c>
      <x:c r="D9" s="4" t="str">
        <x:v>56ab308677e014b60fb3355fc7a7f53516623c33d7d6cae125c7ed2b135b791a</x:v>
      </x:c>
      <x:c r="E9" s="4" t="str">
        <x:v>full SKILL.md read before implementation</x:v>
      </x:c>
    </x:row>
    <x:row r="10" ht="48" customHeight="1">
      <x:c r="A10" s="4" t="str">
        <x:v>skill</x:v>
      </x:c>
      <x:c r="B10" s="4" t="str">
        <x:v>google-play-compliance-monetization.zip</x:v>
      </x:c>
      <x:c r="C10" s="4" t="str">
        <x:v>agent-skills/google-play-compliance-monetization/SKILL.md</x:v>
      </x:c>
      <x:c r="D10" s="4" t="str">
        <x:v>655b3ab63a68cff0237351412d69fdd641c3c07853e103886022104decaddb7e</x:v>
      </x:c>
      <x:c r="E10" s="4" t="str">
        <x:v>full SKILL.md read before implementation</x:v>
      </x:c>
    </x:row>
    <x:row r="11" ht="48" customHeight="1">
      <x:c r="A11" s="4" t="str">
        <x:v>skill</x:v>
      </x:c>
      <x:c r="B11" s="4" t="str">
        <x:v>hollow-knight-combat-2d.zip</x:v>
      </x:c>
      <x:c r="C11" s="4" t="str">
        <x:v>agent-skills/hollow-knight-combat-2d/SKILL.md</x:v>
      </x:c>
      <x:c r="D11" s="4" t="str">
        <x:v>4d3ca018660f3487deab4055c39389c686877ced4464e79cb5753a53043a4473</x:v>
      </x:c>
      <x:c r="E11" s="4" t="str">
        <x:v>full SKILL.md read before implementation</x:v>
      </x:c>
    </x:row>
    <x:row r="12" ht="48" customHeight="1">
      <x:c r="A12" s="4" t="str">
        <x:v>skill</x:v>
      </x:c>
      <x:c r="B12" s="4" t="str">
        <x:v>mobile-pixel-art-ui-ux.zip</x:v>
      </x:c>
      <x:c r="C12" s="4" t="str">
        <x:v>agent-skills/mobile-pixel-art-ui-ux/SKILL.md</x:v>
      </x:c>
      <x:c r="D12" s="4" t="str">
        <x:v>74079701dcffd87ae28c9bd2037d89e9ac0dc8a40073fe05cd1d253927e21596</x:v>
      </x:c>
      <x:c r="E12" s="4" t="str">
        <x:v>full SKILL.md read before implementation</x:v>
      </x:c>
    </x:row>
    <x:row r="13" ht="48" customHeight="1">
      <x:c r="A13" s="4" t="str">
        <x:v>skill</x:v>
      </x:c>
      <x:c r="B13" s="4" t="str">
        <x:v>monetization-shop-design.zip</x:v>
      </x:c>
      <x:c r="C13" s="4" t="str">
        <x:v>agent-skills/monetization-shop-design/SKILL.md</x:v>
      </x:c>
      <x:c r="D13" s="4" t="str">
        <x:v>9a841d254a2b91fbcde37533654d7691b3aebb928967bc4a79b2e318e526788e</x:v>
      </x:c>
      <x:c r="E13" s="4" t="str">
        <x:v>full SKILL.md read before implementation</x:v>
      </x:c>
    </x:row>
    <x:row r="14" ht="48" customHeight="1">
      <x:c r="A14" s="4" t="str">
        <x:v>skill</x:v>
      </x:c>
      <x:c r="B14" s="4" t="str">
        <x:v>pixel-art-page-layout-system.zip</x:v>
      </x:c>
      <x:c r="C14" s="4" t="str">
        <x:v>agent-skills/pixel-art-page-layout-system/SKILL.md</x:v>
      </x:c>
      <x:c r="D14" s="4" t="str">
        <x:v>5bc680454fe05cd3a87da7f93d5a9db7ef1c9c096adcc9ba9aaf8a894fbc085d</x:v>
      </x:c>
      <x:c r="E14" s="4" t="str">
        <x:v>full SKILL.md read before implementation</x:v>
      </x:c>
    </x:row>
    <x:row r="15" ht="48" customHeight="1">
      <x:c r="A15" s="4" t="str">
        <x:v>skill</x:v>
      </x:c>
      <x:c r="B15" s="4" t="str">
        <x:v>player-onboarding-ftue.zip</x:v>
      </x:c>
      <x:c r="C15" s="4" t="str">
        <x:v>agent-skills/player-onboarding-ftue/SKILL.md</x:v>
      </x:c>
      <x:c r="D15" s="4" t="str">
        <x:v>a3719c40f7bc0f68e7896b35d6b64c4cc7f272b2aa799d8d753b1abc16795dc1</x:v>
      </x:c>
      <x:c r="E15" s="4" t="str">
        <x:v>full SKILL.md read before implementation</x:v>
      </x:c>
    </x:row>
    <x:row r="16" ht="48" customHeight="1">
      <x:c r="A16" s="4" t="str">
        <x:v>skill</x:v>
      </x:c>
      <x:c r="B16" s="4" t="str">
        <x:v>retention-liveops-calendar.zip</x:v>
      </x:c>
      <x:c r="C16" s="4" t="str">
        <x:v>agent-skills/retention-liveops-calendar/SKILL.md</x:v>
      </x:c>
      <x:c r="D16" s="4" t="str">
        <x:v>64643008ab521e4cbf9df91d40e52e870c6b0aa1e32f97a540ded43176d07cf0</x:v>
      </x:c>
      <x:c r="E16" s="4" t="str">
        <x:v>full SKILL.md read before implementation</x:v>
      </x:c>
    </x:row>
    <x:row r="17" ht="48" customHeight="1">
      <x:c r="A17" s="4" t="str">
        <x:v>skill</x:v>
      </x:c>
      <x:c r="B17" s="4" t="str">
        <x:v>social-virality-referral.zip</x:v>
      </x:c>
      <x:c r="C17" s="4" t="str">
        <x:v>agent-skills/social-virality-referral/SKILL.md</x:v>
      </x:c>
      <x:c r="D17" s="4" t="str">
        <x:v>d963b6a29cda64b6b29255617ec4bd98864e7243276de1ef35c5f08c8ed9cb09</x:v>
      </x:c>
      <x:c r="E17" s="4" t="str">
        <x:v>full SKILL.md read before implementation</x:v>
      </x:c>
    </x:row>
    <x:row r="18" ht="48" customHeight="1">
      <x:c r="A18" s="4" t="str">
        <x:v>skill</x:v>
      </x:c>
      <x:c r="B18" s="4" t="str">
        <x:v>telemetry-analytics-instrumentation.zip</x:v>
      </x:c>
      <x:c r="C18" s="4" t="str">
        <x:v>agent-skills/telemetry-analytics-instrumentation/SKILL.md</x:v>
      </x:c>
      <x:c r="D18" s="4" t="str">
        <x:v>ea9dcfcac8606c351c6b405d71caec1a1f4c78d332284663bf073347a9c1276b</x:v>
      </x:c>
      <x:c r="E18" s="4" t="str">
        <x:v>full SKILL.md read before implementation</x:v>
      </x:c>
    </x:row>
    <x:row r="19" ht="48" customHeight="1">
      <x:c r="A19" s="4" t="str">
        <x:v>skill</x:v>
      </x:c>
      <x:c r="B19" s="4" t="str">
        <x:v>world-level-generation.zip</x:v>
      </x:c>
      <x:c r="C19" s="4" t="str">
        <x:v>agent-skills/world-level-generation/SKILL.md</x:v>
      </x:c>
      <x:c r="D19" s="4" t="str">
        <x:v>e66119b67cca3a22df1da800629a435b338a07b9f1ade3e94818b1bfb84b59ad</x:v>
      </x:c>
      <x:c r="E19" s="4" t="str">
        <x:v>full SKILL.md read before implementation</x:v>
      </x:c>
    </x:row>
    <x:row r="20" ht="48" customHeight="1">
      <x:c r="A20" s="4" t="str">
        <x:v>mockup</x:v>
      </x:c>
      <x:c r="B20" s="4" t="str">
        <x:v>sw_boss_hunt_mode.png</x:v>
      </x:c>
      <x:c r="C20" s="4" t="str">
        <x:v>design/references/ui/sw_boss_hunt_mode.png</x:v>
      </x:c>
      <x:c r="D20" s="4" t="str">
        <x:v>f8e721309ee3f2c23f8dfd072de23be8f3ff81c61f998ed19445393b98639e29</x:v>
      </x:c>
      <x:c r="E20" s="4" t="str">
        <x:v>visually inspected</x:v>
      </x:c>
    </x:row>
    <x:row r="21" ht="48" customHeight="1">
      <x:c r="A21" s="4" t="str">
        <x:v>mockup</x:v>
      </x:c>
      <x:c r="B21" s="4" t="str">
        <x:v>sw_heroes_page.png</x:v>
      </x:c>
      <x:c r="C21" s="4" t="str">
        <x:v>design/references/ui/sw_heroes_page.png</x:v>
      </x:c>
      <x:c r="D21" s="4" t="str">
        <x:v>e5d34a676da1034e8dc6a87224f8fe41c1e04bf028e47568315952c3522cae1d</x:v>
      </x:c>
      <x:c r="E21" s="4" t="str">
        <x:v>visually inspected</x:v>
      </x:c>
    </x:row>
    <x:row r="22" ht="48" customHeight="1">
      <x:c r="A22" s="4" t="str">
        <x:v>mockup</x:v>
      </x:c>
      <x:c r="B22" s="4" t="str">
        <x:v>sw_home_page.png</x:v>
      </x:c>
      <x:c r="C22" s="4" t="str">
        <x:v>design/references/ui/sw_home_page.png</x:v>
      </x:c>
      <x:c r="D22" s="4" t="str">
        <x:v>81429e58fe555fca8a07efb599d6c4d6c4f47920932d0b86addd21ddddb4db0f</x:v>
      </x:c>
      <x:c r="E22" s="4" t="str">
        <x:v>visually inspected</x:v>
      </x:c>
    </x:row>
    <x:row r="23" ht="48" customHeight="1">
      <x:c r="A23" s="4" t="str">
        <x:v>mockup</x:v>
      </x:c>
      <x:c r="B23" s="4" t="str">
        <x:v>sw_missions_page.png</x:v>
      </x:c>
      <x:c r="C23" s="4" t="str">
        <x:v>design/references/ui/sw_missions_page.png</x:v>
      </x:c>
      <x:c r="D23" s="4" t="str">
        <x:v>b8a8a094cbd0613272f32aae7033f265bde910a46223de460751912fdb6c7c49</x:v>
      </x:c>
      <x:c r="E23" s="4" t="str">
        <x:v>visually inspected</x:v>
      </x:c>
    </x:row>
    <x:row r="24" ht="48" customHeight="1">
      <x:c r="A24" s="4" t="str">
        <x:v>mockup</x:v>
      </x:c>
      <x:c r="B24" s="4" t="str">
        <x:v>sw_pets_page.png</x:v>
      </x:c>
      <x:c r="C24" s="4" t="str">
        <x:v>design/references/ui/sw_pets_page.png</x:v>
      </x:c>
      <x:c r="D24" s="4" t="str">
        <x:v>0e12fb3fcd1ba2a8c9306c8fc2fcd66ccfe6b35517786ecea6be13d5eda0193b</x:v>
      </x:c>
      <x:c r="E24" s="4" t="str">
        <x:v>visually inspected</x:v>
      </x:c>
    </x:row>
    <x:row r="25" ht="48" customHeight="1">
      <x:c r="A25" s="4" t="str">
        <x:v>mockup</x:v>
      </x:c>
      <x:c r="B25" s="4" t="str">
        <x:v>sw_profile_page.png</x:v>
      </x:c>
      <x:c r="C25" s="4" t="str">
        <x:v>design/references/ui/sw_profile_page.png</x:v>
      </x:c>
      <x:c r="D25" s="4" t="str">
        <x:v>7ec38b47207715037959e3a5beedc314168a7eb8e2df54c0b3c04978332e5b1b</x:v>
      </x:c>
      <x:c r="E25" s="4" t="str">
        <x:v>visually inspected</x:v>
      </x:c>
    </x:row>
    <x:row r="26" ht="48" customHeight="1">
      <x:c r="A26" s="4" t="str">
        <x:v>mockup</x:v>
      </x:c>
      <x:c r="B26" s="4" t="str">
        <x:v>sw_records_page.png</x:v>
      </x:c>
      <x:c r="C26" s="4" t="str">
        <x:v>design/references/ui/sw_records_page.png</x:v>
      </x:c>
      <x:c r="D26" s="4" t="str">
        <x:v>57ed360b2bda83ba59761340713e6a7cdd79f7a5261ffffee382653bed1399f2</x:v>
      </x:c>
      <x:c r="E26" s="4" t="str">
        <x:v>visually inspected</x:v>
      </x:c>
    </x:row>
    <x:row r="27" ht="48" customHeight="1">
      <x:c r="A27" s="4" t="str">
        <x:v>mockup</x:v>
      </x:c>
      <x:c r="B27" s="4" t="str">
        <x:v>sw_settings_page.png</x:v>
      </x:c>
      <x:c r="C27" s="4" t="str">
        <x:v>design/references/ui/sw_settings_page.png</x:v>
      </x:c>
      <x:c r="D27" s="4" t="str">
        <x:v>846485f4dd553cb35629a76c106a68bf6ade0a163fbbf7ca24375a6486753e59</x:v>
      </x:c>
      <x:c r="E27" s="4" t="str">
        <x:v>visually inspected</x:v>
      </x:c>
    </x:row>
    <x:row r="28" ht="48" customHeight="1">
      <x:c r="A28" s="4" t="str">
        <x:v>mockup</x:v>
      </x:c>
      <x:c r="B28" s="4" t="str">
        <x:v>sw_shop_page.png</x:v>
      </x:c>
      <x:c r="C28" s="4" t="str">
        <x:v>design/references/ui/sw_shop_page.png</x:v>
      </x:c>
      <x:c r="D28" s="4" t="str">
        <x:v>e89dca3213fb097589bf8fa82224fba0e6de2c110342df1671e0023956c5ca7b</x:v>
      </x:c>
      <x:c r="E28" s="4" t="str">
        <x:v>visually inspected</x:v>
      </x:c>
    </x:row>
    <x:row r="29" ht="48" customHeight="1">
      <x:c r="A29" s="4" t="str">
        <x:v>mockup</x:v>
      </x:c>
      <x:c r="B29" s="4" t="str">
        <x:v>sw_worlds_page.png</x:v>
      </x:c>
      <x:c r="C29" s="4" t="str">
        <x:v>design/references/ui/sw_worlds_page.png</x:v>
      </x:c>
      <x:c r="D29" s="4" t="str">
        <x:v>6108c29bffdbe4b0c046ed2f743bcd9dc67a8c207e561e6c9e15e4602a147e4e</x:v>
      </x:c>
      <x:c r="E29" s="4" t="str">
        <x:v>visually inspected</x:v>
      </x:c>
    </x:row>
    <x:row r="30" ht="48" customHeight="1">
      <x:c r="A30" s="4" t="str">
        <x:v>source sheet</x:v>
      </x:c>
      <x:c r="B30" s="4" t="str">
        <x:v>Assets_icons.png</x:v>
      </x:c>
      <x:c r="C30" s="4" t="str">
        <x:v>art-source/ui/Assets_icons.png</x:v>
      </x:c>
      <x:c r="D30" s="4" t="str">
        <x:v>82ccc5e11e87a394d3e7f4380c8e3586d5566d577d9d48d8121e8abd9b08b750</x:v>
      </x:c>
      <x:c r="E30" s="4" t="str">
        <x:v>visually inspected</x:v>
      </x:c>
    </x:row>
    <x:row r="31" ht="48" customHeight="1">
      <x:c r="A31" s="4" t="str">
        <x:v>source sheet</x:v>
      </x:c>
      <x:c r="B31" s="4" t="str">
        <x:v>Assets_placeholders.png</x:v>
      </x:c>
      <x:c r="C31" s="4" t="str">
        <x:v>art-source/ui/Assets_placeholders.png</x:v>
      </x:c>
      <x:c r="D31" s="4" t="str">
        <x:v>2cd79bea7e116ef28bdfb925029a18109a2674f7cefc1c4beef8b7a780a67edf</x:v>
      </x:c>
      <x:c r="E31" s="4" t="str">
        <x:v>visually inspected</x:v>
      </x:c>
    </x:row>
    <x:row r="32" ht="48" customHeight="1">
      <x:c r="A32" s="4" t="str">
        <x:v>source sheet</x:v>
      </x:c>
      <x:c r="B32" s="4" t="str">
        <x:v>Assets_placeholders_2.png</x:v>
      </x:c>
      <x:c r="C32" s="4" t="str">
        <x:v>art-source/ui/Assets_placeholders_2.png</x:v>
      </x:c>
      <x:c r="D32" s="4" t="str">
        <x:v>592f57ae47083ab948b5d8e0099a562a0e38f8e1c5dd6087d8180dd31396b7e8</x:v>
      </x:c>
      <x:c r="E32" s="4" t="str">
        <x:v>visually inspected</x:v>
      </x:c>
    </x:row>
  </x:sheetData>
  <x:pageMargins left="0.7" right="0.7" top="0.75" bottom="0.75" header="0.3" footer="0.3"/>
  <x:tableParts count="1">
    <x:tablePart xmlns:r="http://schemas.openxmlformats.org/officeDocument/2006/relationships" r:id="R54179482d262494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6" hidden="0" customWidth="1"/>
    <x:col min="3" max="3" width="24" hidden="0" customWidth="1"/>
    <x:col min="4" max="4" width="56" hidden="0" customWidth="1"/>
    <x:col min="5" max="5" width="74" hidden="0" customWidth="1"/>
    <x:col min="6" max="6" width="28" hidden="0" customWidth="1"/>
    <x:col min="7" max="7" width="79" hidden="0" customWidth="1"/>
  </x:cols>
  <x:sheetData>
    <x:row r="1" ht="34" customHeight="1">
      <x:c r="A1" s="10" t="str">
        <x:v>Category</x:v>
      </x:c>
      <x:c r="B1" s="10" t="str">
        <x:v>Hero</x:v>
      </x:c>
      <x:c r="C1" s="10" t="str">
        <x:v>Slot</x:v>
      </x:c>
      <x:c r="D1" s="10" t="str">
        <x:v>Proposed path (missing)</x:v>
      </x:c>
      <x:c r="E1" s="10" t="str">
        <x:v>Required content</x:v>
      </x:c>
      <x:c r="F1" s="10" t="str">
        <x:v>Status</x:v>
      </x:c>
      <x:c r="G1" s="10" t="str">
        <x:v>Notes / integration</x:v>
      </x:c>
    </x:row>
    <x:row r="2" ht="62" customHeight="1">
      <x:c r="A2" s="4" t="str">
        <x:v>Unarmed / polish</x:v>
      </x:c>
      <x:c r="B2" s="4" t="str">
        <x:v>Wissem</x:v>
      </x:c>
      <x:c r="C2" s="4" t="str">
        <x:v>idle-guard</x:v>
      </x:c>
      <x:c r="D2" s="4" t="str">
        <x:v>assets/heroes/wissem/unarmed-guard.png</x:v>
      </x:c>
      <x:c r="E2" s="4" t="str">
        <x:v>Optional authored bespoke fist guard/idle to replace existing weapon-free idle frame0.</x:v>
      </x:c>
      <x:c r="F2" s="4" t="str">
        <x:v>OPTIONAL POLISH</x:v>
      </x:c>
      <x:c r="G2" s="4" t="str">
        <x:v>Current real body is weapon-free and functional; no weapon-erasure request.</x:v>
      </x:c>
    </x:row>
    <x:row r="3" ht="62" customHeight="1">
      <x:c r="A3" s="4" t="str">
        <x:v>Unarmed / authored phase poses</x:v>
      </x:c>
      <x:c r="B3" s="4" t="str">
        <x:v>Wissem</x:v>
      </x:c>
      <x:c r="C3" s="4" t="str">
        <x:v>startup</x:v>
      </x:c>
      <x:c r="D3" s="4" t="str">
        <x:v>assets/heroes/wissem/unarmed-startup.png</x:v>
      </x:c>
      <x:c r="E3" s="4" t="str">
        <x:v>128×160 transparent pose/clip aligned to original body origin; distinct fist anticipation, extension and return silhouette.</x:v>
      </x:c>
      <x:c r="F3" s="4" t="str">
        <x:v>OPTIONAL POLISH</x:v>
      </x:c>
      <x:c r="G3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4" ht="62" customHeight="1">
      <x:c r="A4" s="4" t="str">
        <x:v>Unarmed / authored phase poses</x:v>
      </x:c>
      <x:c r="B4" s="4" t="str">
        <x:v>Wissem</x:v>
      </x:c>
      <x:c r="C4" s="4" t="str">
        <x:v>active</x:v>
      </x:c>
      <x:c r="D4" s="4" t="str">
        <x:v>assets/heroes/wissem/unarmed-active.png</x:v>
      </x:c>
      <x:c r="E4" s="4" t="str">
        <x:v>128×160 transparent pose/clip aligned to original body origin; distinct fist anticipation, extension and return silhouette.</x:v>
      </x:c>
      <x:c r="F4" s="4" t="str">
        <x:v>OPTIONAL POLISH</x:v>
      </x:c>
      <x:c r="G4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5" ht="62" customHeight="1">
      <x:c r="A5" s="4" t="str">
        <x:v>Unarmed / authored phase poses</x:v>
      </x:c>
      <x:c r="B5" s="4" t="str">
        <x:v>Wissem</x:v>
      </x:c>
      <x:c r="C5" s="4" t="str">
        <x:v>recovery</x:v>
      </x:c>
      <x:c r="D5" s="4" t="str">
        <x:v>assets/heroes/wissem/unarmed-recovery.png</x:v>
      </x:c>
      <x:c r="E5" s="4" t="str">
        <x:v>128×160 transparent pose/clip aligned to original body origin; distinct fist anticipation, extension and return silhouette.</x:v>
      </x:c>
      <x:c r="F5" s="4" t="str">
        <x:v>OPTIONAL POLISH</x:v>
      </x:c>
      <x:c r="G5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6" ht="62" customHeight="1">
      <x:c r="A6" s="4" t="str">
        <x:v>Modular body architecture</x:v>
      </x:c>
      <x:c r="B6" s="4" t="str">
        <x:v>Wissem</x:v>
      </x:c>
      <x:c r="C6" s="4" t="str">
        <x:v>base</x:v>
      </x:c>
      <x:c r="D6" s="4" t="str">
        <x:v>assets/cosmetics/wissem/base.png</x:v>
      </x:c>
      <x:c r="E6" s="4" t="str">
        <x:v>Clean neutral-clothed/covered body rig, no replaceable outerwear/weapon baked in; 14×128×160 aligned cells.</x:v>
      </x:c>
      <x:c r="F6" s="4" t="str">
        <x:v>MISSING ART</x:v>
      </x:c>
      <x:c r="G6" s="4" t="str">
        <x:v>Body.modularBody.base manifest key required. This is a substantial authored rig split, not six overlays pasted on complete clothes.</x:v>
      </x:c>
    </x:row>
    <x:row r="7" ht="62" customHeight="1">
      <x:c r="A7" s="4" t="str">
        <x:v>Modular body architecture</x:v>
      </x:c>
      <x:c r="B7" s="4" t="str">
        <x:v>Wissem</x:v>
      </x:c>
      <x:c r="C7" s="4" t="str">
        <x:v>front-mask</x:v>
      </x:c>
      <x:c r="D7" s="4" t="str">
        <x:v>assets/cosmetics/wissem/front.png</x:v>
      </x:c>
      <x:c r="E7" s="4" t="str">
        <x:v>Foreground hands/arms/hair occlusion mask, same 14 aligned frames.</x:v>
      </x:c>
      <x:c r="F7" s="4" t="str">
        <x:v>MISSING ART</x:v>
      </x:c>
      <x:c r="G7" s="4" t="str">
        <x:v>Body.modularBody.front required; optional rear sheet if clothing/hair extends behind body.</x:v>
      </x:c>
    </x:row>
    <x:row r="8" ht="62" customHeight="1">
      <x:c r="A8" s="4" t="str">
        <x:v>Modular body architecture</x:v>
      </x:c>
      <x:c r="B8" s="4" t="str">
        <x:v>Wissem</x:v>
      </x:c>
      <x:c r="C8" s="4" t="str">
        <x:v>rear-mask</x:v>
      </x:c>
      <x:c r="D8" s="4" t="str">
        <x:v>assets/cosmetics/wissem/rear.png</x:v>
      </x:c>
      <x:c r="E8" s="4" t="str">
        <x:v>Optional rear hair/cape/weapon-strap occlusion split, 14 aligned frames.</x:v>
      </x:c>
      <x:c r="F8" s="4" t="str">
        <x:v>CONDITIONAL ART</x:v>
      </x:c>
      <x:c r="G8" s="4" t="str">
        <x:v>Only needed for silhouettes with rear components. Body.modularBody.rear is supported.</x:v>
      </x:c>
    </x:row>
    <x:row r="9" ht="62" customHeight="1">
      <x:c r="A9" s="4" t="str">
        <x:v>Independent wardrobe slots</x:v>
      </x:c>
      <x:c r="B9" s="4" t="str">
        <x:v>Wissem</x:v>
      </x:c>
      <x:c r="C9" s="4" t="str">
        <x:v>hat</x:v>
      </x:c>
      <x:c r="D9" s="4" t="str">
        <x:v>assets/cosmetics/wissem/hat/&lt;piece-id&gt;.png</x:v>
      </x:c>
      <x:c r="E9" s="4" t="str">
        <x:v>Each sellable piece: transparent 14×128×160 aligned sprite layer; all animation states; colors/opaque areas must not obscure required face/hand cues.</x:v>
      </x:c>
      <x:c r="F9" s="4" t="str">
        <x:v>MISSING ART</x:v>
      </x:c>
      <x:c r="G9" s="4" t="str">
        <x:v>Catalog id, hero, slot, key, status:ready, cost and ownership required. Current catalog empty; art must be previewed before enabling sales.</x:v>
      </x:c>
    </x:row>
    <x:row r="10" ht="62" customHeight="1">
      <x:c r="A10" s="4" t="str">
        <x:v>Wardrobe previews</x:v>
      </x:c>
      <x:c r="B10" s="4" t="str">
        <x:v>Wissem</x:v>
      </x:c>
      <x:c r="C10" s="4" t="str">
        <x:v>hat-thumbnail</x:v>
      </x:c>
      <x:c r="D10" s="4" t="str">
        <x:v>assets/cosmetics/wissem/hat/&lt;piece-id&gt;-preview.png</x:v>
      </x:c>
      <x:c r="E10" s="4" t="str">
        <x:v>One isolated square preview/thumbnail per piece; transparent, same pixel style.</x:v>
      </x:c>
      <x:c r="F10" s="4" t="str">
        <x:v>MISSING ART</x:v>
      </x:c>
      <x:c r="G10" s="4" t="str">
        <x:v>Future populated catalog UI still needs to render ready-item cards; present UI explicitly says art pending.</x:v>
      </x:c>
    </x:row>
    <x:row r="11" ht="62" customHeight="1">
      <x:c r="A11" s="4" t="str">
        <x:v>Independent wardrobe slots</x:v>
      </x:c>
      <x:c r="B11" s="4" t="str">
        <x:v>Wissem</x:v>
      </x:c>
      <x:c r="C11" s="4" t="str">
        <x:v>top</x:v>
      </x:c>
      <x:c r="D11" s="4" t="str">
        <x:v>assets/cosmetics/wissem/top/&lt;piece-id&gt;.png</x:v>
      </x:c>
      <x:c r="E11" s="4" t="str">
        <x:v>Each sellable piece: transparent 14×128×160 aligned sprite layer; all animation states; colors/opaque areas must not obscure required face/hand cues.</x:v>
      </x:c>
      <x:c r="F11" s="4" t="str">
        <x:v>MISSING ART</x:v>
      </x:c>
      <x:c r="G11" s="4" t="str">
        <x:v>Catalog id, hero, slot, key, status:ready, cost and ownership required. Current catalog empty; art must be previewed before enabling sales.</x:v>
      </x:c>
    </x:row>
    <x:row r="12" ht="62" customHeight="1">
      <x:c r="A12" s="4" t="str">
        <x:v>Wardrobe previews</x:v>
      </x:c>
      <x:c r="B12" s="4" t="str">
        <x:v>Wissem</x:v>
      </x:c>
      <x:c r="C12" s="4" t="str">
        <x:v>top-thumbnail</x:v>
      </x:c>
      <x:c r="D12" s="4" t="str">
        <x:v>assets/cosmetics/wissem/top/&lt;piece-id&gt;-preview.png</x:v>
      </x:c>
      <x:c r="E12" s="4" t="str">
        <x:v>One isolated square preview/thumbnail per piece; transparent, same pixel style.</x:v>
      </x:c>
      <x:c r="F12" s="4" t="str">
        <x:v>MISSING ART</x:v>
      </x:c>
      <x:c r="G12" s="4" t="str">
        <x:v>Future populated catalog UI still needs to render ready-item cards; present UI explicitly says art pending.</x:v>
      </x:c>
    </x:row>
    <x:row r="13" ht="62" customHeight="1">
      <x:c r="A13" s="4" t="str">
        <x:v>Independent wardrobe slots</x:v>
      </x:c>
      <x:c r="B13" s="4" t="str">
        <x:v>Wissem</x:v>
      </x:c>
      <x:c r="C13" s="4" t="str">
        <x:v>bottom</x:v>
      </x:c>
      <x:c r="D13" s="4" t="str">
        <x:v>assets/cosmetics/wissem/bottom/&lt;piece-id&gt;.png</x:v>
      </x:c>
      <x:c r="E13" s="4" t="str">
        <x:v>Each sellable piece: transparent 14×128×160 aligned sprite layer; all animation states; colors/opaque areas must not obscure required face/hand cues.</x:v>
      </x:c>
      <x:c r="F13" s="4" t="str">
        <x:v>MISSING ART</x:v>
      </x:c>
      <x:c r="G13" s="4" t="str">
        <x:v>Catalog id, hero, slot, key, status:ready, cost and ownership required. Current catalog empty; art must be previewed before enabling sales.</x:v>
      </x:c>
    </x:row>
    <x:row r="14" ht="62" customHeight="1">
      <x:c r="A14" s="4" t="str">
        <x:v>Wardrobe previews</x:v>
      </x:c>
      <x:c r="B14" s="4" t="str">
        <x:v>Wissem</x:v>
      </x:c>
      <x:c r="C14" s="4" t="str">
        <x:v>bottom-thumbnail</x:v>
      </x:c>
      <x:c r="D14" s="4" t="str">
        <x:v>assets/cosmetics/wissem/bottom/&lt;piece-id&gt;-preview.png</x:v>
      </x:c>
      <x:c r="E14" s="4" t="str">
        <x:v>One isolated square preview/thumbnail per piece; transparent, same pixel style.</x:v>
      </x:c>
      <x:c r="F14" s="4" t="str">
        <x:v>MISSING ART</x:v>
      </x:c>
      <x:c r="G14" s="4" t="str">
        <x:v>Future populated catalog UI still needs to render ready-item cards; present UI explicitly says art pending.</x:v>
      </x:c>
    </x:row>
    <x:row r="15" ht="62" customHeight="1">
      <x:c r="A15" s="4" t="str">
        <x:v>Independent wardrobe slots</x:v>
      </x:c>
      <x:c r="B15" s="4" t="str">
        <x:v>Wissem</x:v>
      </x:c>
      <x:c r="C15" s="4" t="str">
        <x:v>shoes</x:v>
      </x:c>
      <x:c r="D15" s="4" t="str">
        <x:v>assets/cosmetics/wissem/shoes/&lt;piece-id&gt;.png</x:v>
      </x:c>
      <x:c r="E15" s="4" t="str">
        <x:v>Each sellable piece: transparent 14×128×160 aligned sprite layer; all animation states; colors/opaque areas must not obscure required face/hand cues.</x:v>
      </x:c>
      <x:c r="F15" s="4" t="str">
        <x:v>MISSING ART</x:v>
      </x:c>
      <x:c r="G15" s="4" t="str">
        <x:v>Catalog id, hero, slot, key, status:ready, cost and ownership required. Current catalog empty; art must be previewed before enabling sales.</x:v>
      </x:c>
    </x:row>
    <x:row r="16" ht="62" customHeight="1">
      <x:c r="A16" s="4" t="str">
        <x:v>Wardrobe previews</x:v>
      </x:c>
      <x:c r="B16" s="4" t="str">
        <x:v>Wissem</x:v>
      </x:c>
      <x:c r="C16" s="4" t="str">
        <x:v>shoes-thumbnail</x:v>
      </x:c>
      <x:c r="D16" s="4" t="str">
        <x:v>assets/cosmetics/wissem/shoes/&lt;piece-id&gt;-preview.png</x:v>
      </x:c>
      <x:c r="E16" s="4" t="str">
        <x:v>One isolated square preview/thumbnail per piece; transparent, same pixel style.</x:v>
      </x:c>
      <x:c r="F16" s="4" t="str">
        <x:v>MISSING ART</x:v>
      </x:c>
      <x:c r="G16" s="4" t="str">
        <x:v>Future populated catalog UI still needs to render ready-item cards; present UI explicitly says art pending.</x:v>
      </x:c>
    </x:row>
    <x:row r="17" ht="62" customHeight="1">
      <x:c r="A17" s="4" t="str">
        <x:v>Independent wardrobe slots</x:v>
      </x:c>
      <x:c r="B17" s="4" t="str">
        <x:v>Wissem</x:v>
      </x:c>
      <x:c r="C17" s="4" t="str">
        <x:v>eyewear</x:v>
      </x:c>
      <x:c r="D17" s="4" t="str">
        <x:v>assets/cosmetics/wissem/eyewear/&lt;piece-id&gt;.png</x:v>
      </x:c>
      <x:c r="E17" s="4" t="str">
        <x:v>Each sellable piece: transparent 14×128×160 aligned sprite layer; all animation states; colors/opaque areas must not obscure required face/hand cues.</x:v>
      </x:c>
      <x:c r="F17" s="4" t="str">
        <x:v>MISSING ART</x:v>
      </x:c>
      <x:c r="G17" s="4" t="str">
        <x:v>Catalog id, hero, slot, key, status:ready, cost and ownership required. Current catalog empty; art must be previewed before enabling sales.</x:v>
      </x:c>
    </x:row>
    <x:row r="18" ht="62" customHeight="1">
      <x:c r="A18" s="4" t="str">
        <x:v>Wardrobe previews</x:v>
      </x:c>
      <x:c r="B18" s="4" t="str">
        <x:v>Wissem</x:v>
      </x:c>
      <x:c r="C18" s="4" t="str">
        <x:v>eyewear-thumbnail</x:v>
      </x:c>
      <x:c r="D18" s="4" t="str">
        <x:v>assets/cosmetics/wissem/eyewear/&lt;piece-id&gt;-preview.png</x:v>
      </x:c>
      <x:c r="E18" s="4" t="str">
        <x:v>One isolated square preview/thumbnail per piece; transparent, same pixel style.</x:v>
      </x:c>
      <x:c r="F18" s="4" t="str">
        <x:v>MISSING ART</x:v>
      </x:c>
      <x:c r="G18" s="4" t="str">
        <x:v>Future populated catalog UI still needs to render ready-item cards; present UI explicitly says art pending.</x:v>
      </x:c>
    </x:row>
    <x:row r="19" ht="62" customHeight="1">
      <x:c r="A19" s="4" t="str">
        <x:v>Weapon-skin slots</x:v>
      </x:c>
      <x:c r="B19" s="4" t="str">
        <x:v>Wissem</x:v>
      </x:c>
      <x:c r="C19" s="4" t="str">
        <x:v>weaponSkin</x:v>
      </x:c>
      <x:c r="D19" s="4" t="str">
        <x:v>assets/cosmetics/wissem/weaponSkin/&lt;skin-id&gt;.png</x:v>
      </x:c>
      <x:c r="E19" s="4" t="str">
        <x:v>Class-matched replacement for gauntlet; single transparent image, explicit dimensions, normalized grip anchor, angle and logical height.</x:v>
      </x:c>
      <x:c r="F19" s="4" t="str">
        <x:v>MISSING ART</x:v>
      </x:c>
      <x:c r="G19" s="4" t="str">
        <x:v>Original signature PNG exists but is not a new sellable skin. New image requires a separate body and ready catalog item; no stats change.</x:v>
      </x:c>
    </x:row>
    <x:row r="20" ht="62" customHeight="1">
      <x:c r="A20" s="4" t="str">
        <x:v>Weapon-skin previews</x:v>
      </x:c>
      <x:c r="B20" s="4" t="str">
        <x:v>Wissem</x:v>
      </x:c>
      <x:c r="C20" s="4" t="str">
        <x:v>weaponSkin-thumbnail</x:v>
      </x:c>
      <x:c r="D20" s="4" t="str">
        <x:v>assets/cosmetics/wissem/weaponSkin/&lt;skin-id&gt;-preview.png</x:v>
      </x:c>
      <x:c r="E20" s="4" t="str">
        <x:v>Isolated square preview of the new skin (may reuse the full single-image weapon PNG with contain fit).</x:v>
      </x:c>
      <x:c r="F20" s="4" t="str">
        <x:v>MISSING ART</x:v>
      </x:c>
      <x:c r="G20" s="4" t="str">
        <x:v>Can share source image if sufficiently readable, not necessarily a separate unique drawing.</x:v>
      </x:c>
    </x:row>
    <x:row r="21" ht="62" customHeight="1">
      <x:c r="A21" s="4" t="str">
        <x:v>Unarmed / clean rig</x:v>
      </x:c>
      <x:c r="B21" s="4" t="str">
        <x:v>Kael</x:v>
      </x:c>
      <x:c r="C21" s="4" t="str">
        <x:v>body</x:v>
      </x:c>
      <x:c r="D21" s="4" t="str">
        <x:v>assets/heroes/kossay/body-unarmed.png</x:v>
      </x:c>
      <x:c r="E21" s="4" t="str">
        <x:v>Weapon-free body, transparent 128×160 cells, all 14 legacy frames: idle0, run1–8, jump9, fall10, attack11–12, dodge13. Retain original identity and draw envelope.</x:v>
      </x:c>
      <x:c r="F21" s="4" t="str">
        <x:v>MISSING ART</x:v>
      </x:c>
      <x:c r="G21" s="4" t="str">
        <x:v>Do not paint over/erase held weapons without redrawing occluded hands, torso and outfit; training proxy is temporary.</x:v>
      </x:c>
    </x:row>
    <x:row r="22" ht="62" customHeight="1">
      <x:c r="A22" s="4" t="str">
        <x:v>Unarmed / lobby</x:v>
      </x:c>
      <x:c r="B22" s="4" t="str">
        <x:v>Kael</x:v>
      </x:c>
      <x:c r="C22" s="4" t="str">
        <x:v>idle-guard</x:v>
      </x:c>
      <x:c r="D22" s="4" t="str">
        <x:v>assets/heroes/kossay/unarmed-guard.png</x:v>
      </x:c>
      <x:c r="E22" s="4" t="str">
        <x:v>Distinct readable bare-hand guard/idle, 128×160, same origin as body.</x:v>
      </x:c>
      <x:c r="F22" s="4" t="str">
        <x:v>MISSING ART</x:v>
      </x:c>
      <x:c r="G22" s="4" t="str">
        <x:v>A dedicated guard clip needs a manifest hook when supplied; presently the labelled generic proxy is shown.</x:v>
      </x:c>
    </x:row>
    <x:row r="23" ht="62" customHeight="1">
      <x:c r="A23" s="4" t="str">
        <x:v>Unarmed / authored phase poses</x:v>
      </x:c>
      <x:c r="B23" s="4" t="str">
        <x:v>Kael</x:v>
      </x:c>
      <x:c r="C23" s="4" t="str">
        <x:v>startup</x:v>
      </x:c>
      <x:c r="D23" s="4" t="str">
        <x:v>assets/heroes/kossay/unarmed-startup.png</x:v>
      </x:c>
      <x:c r="E23" s="4" t="str">
        <x:v>128×160 transparent pose/clip aligned to original body origin; distinct fist anticipation, extension and return silhouette.</x:v>
      </x:c>
      <x:c r="F23" s="4" t="str">
        <x:v>MISSING ART</x:v>
      </x:c>
      <x:c r="G23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24" ht="62" customHeight="1">
      <x:c r="A24" s="4" t="str">
        <x:v>Unarmed / authored phase poses</x:v>
      </x:c>
      <x:c r="B24" s="4" t="str">
        <x:v>Kael</x:v>
      </x:c>
      <x:c r="C24" s="4" t="str">
        <x:v>active</x:v>
      </x:c>
      <x:c r="D24" s="4" t="str">
        <x:v>assets/heroes/kossay/unarmed-active.png</x:v>
      </x:c>
      <x:c r="E24" s="4" t="str">
        <x:v>128×160 transparent pose/clip aligned to original body origin; distinct fist anticipation, extension and return silhouette.</x:v>
      </x:c>
      <x:c r="F24" s="4" t="str">
        <x:v>MISSING ART</x:v>
      </x:c>
      <x:c r="G24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25" ht="62" customHeight="1">
      <x:c r="A25" s="4" t="str">
        <x:v>Unarmed / authored phase poses</x:v>
      </x:c>
      <x:c r="B25" s="4" t="str">
        <x:v>Kael</x:v>
      </x:c>
      <x:c r="C25" s="4" t="str">
        <x:v>recovery</x:v>
      </x:c>
      <x:c r="D25" s="4" t="str">
        <x:v>assets/heroes/kossay/unarmed-recovery.png</x:v>
      </x:c>
      <x:c r="E25" s="4" t="str">
        <x:v>128×160 transparent pose/clip aligned to original body origin; distinct fist anticipation, extension and return silhouette.</x:v>
      </x:c>
      <x:c r="F25" s="4" t="str">
        <x:v>MISSING ART</x:v>
      </x:c>
      <x:c r="G25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26" ht="62" customHeight="1">
      <x:c r="A26" s="4" t="str">
        <x:v>Modular body architecture</x:v>
      </x:c>
      <x:c r="B26" s="4" t="str">
        <x:v>Kael</x:v>
      </x:c>
      <x:c r="C26" s="4" t="str">
        <x:v>base</x:v>
      </x:c>
      <x:c r="D26" s="4" t="str">
        <x:v>assets/cosmetics/kossay/base.png</x:v>
      </x:c>
      <x:c r="E26" s="4" t="str">
        <x:v>Clean neutral-clothed/covered body rig, no replaceable outerwear/weapon baked in; 14×128×160 aligned cells.</x:v>
      </x:c>
      <x:c r="F26" s="4" t="str">
        <x:v>MISSING ART</x:v>
      </x:c>
      <x:c r="G26" s="4" t="str">
        <x:v>Body.modularBody.base manifest key required. This is a substantial authored rig split, not six overlays pasted on complete clothes.</x:v>
      </x:c>
    </x:row>
    <x:row r="27" ht="62" customHeight="1">
      <x:c r="A27" s="4" t="str">
        <x:v>Modular body architecture</x:v>
      </x:c>
      <x:c r="B27" s="4" t="str">
        <x:v>Kael</x:v>
      </x:c>
      <x:c r="C27" s="4" t="str">
        <x:v>front-mask</x:v>
      </x:c>
      <x:c r="D27" s="4" t="str">
        <x:v>assets/cosmetics/kossay/front.png</x:v>
      </x:c>
      <x:c r="E27" s="4" t="str">
        <x:v>Foreground hands/arms/hair occlusion mask, same 14 aligned frames.</x:v>
      </x:c>
      <x:c r="F27" s="4" t="str">
        <x:v>MISSING ART</x:v>
      </x:c>
      <x:c r="G27" s="4" t="str">
        <x:v>Body.modularBody.front required; optional rear sheet if clothing/hair extends behind body.</x:v>
      </x:c>
    </x:row>
    <x:row r="28" ht="62" customHeight="1">
      <x:c r="A28" s="4" t="str">
        <x:v>Modular body architecture</x:v>
      </x:c>
      <x:c r="B28" s="4" t="str">
        <x:v>Kael</x:v>
      </x:c>
      <x:c r="C28" s="4" t="str">
        <x:v>rear-mask</x:v>
      </x:c>
      <x:c r="D28" s="4" t="str">
        <x:v>assets/cosmetics/kossay/rear.png</x:v>
      </x:c>
      <x:c r="E28" s="4" t="str">
        <x:v>Optional rear hair/cape/weapon-strap occlusion split, 14 aligned frames.</x:v>
      </x:c>
      <x:c r="F28" s="4" t="str">
        <x:v>CONDITIONAL ART</x:v>
      </x:c>
      <x:c r="G28" s="4" t="str">
        <x:v>Only needed for silhouettes with rear components. Body.modularBody.rear is supported.</x:v>
      </x:c>
    </x:row>
    <x:row r="29" ht="62" customHeight="1">
      <x:c r="A29" s="4" t="str">
        <x:v>Independent wardrobe slots</x:v>
      </x:c>
      <x:c r="B29" s="4" t="str">
        <x:v>Kael</x:v>
      </x:c>
      <x:c r="C29" s="4" t="str">
        <x:v>hat</x:v>
      </x:c>
      <x:c r="D29" s="4" t="str">
        <x:v>assets/cosmetics/kossay/hat/&lt;piece-id&gt;.png</x:v>
      </x:c>
      <x:c r="E29" s="4" t="str">
        <x:v>Each sellable piece: transparent 14×128×160 aligned sprite layer; all animation states; colors/opaque areas must not obscure required face/hand cues.</x:v>
      </x:c>
      <x:c r="F29" s="4" t="str">
        <x:v>MISSING ART</x:v>
      </x:c>
      <x:c r="G29" s="4" t="str">
        <x:v>Catalog id, hero, slot, key, status:ready, cost and ownership required. Current catalog empty; art must be previewed before enabling sales.</x:v>
      </x:c>
    </x:row>
    <x:row r="30" ht="62" customHeight="1">
      <x:c r="A30" s="4" t="str">
        <x:v>Wardrobe previews</x:v>
      </x:c>
      <x:c r="B30" s="4" t="str">
        <x:v>Kael</x:v>
      </x:c>
      <x:c r="C30" s="4" t="str">
        <x:v>hat-thumbnail</x:v>
      </x:c>
      <x:c r="D30" s="4" t="str">
        <x:v>assets/cosmetics/kossay/hat/&lt;piece-id&gt;-preview.png</x:v>
      </x:c>
      <x:c r="E30" s="4" t="str">
        <x:v>One isolated square preview/thumbnail per piece; transparent, same pixel style.</x:v>
      </x:c>
      <x:c r="F30" s="4" t="str">
        <x:v>MISSING ART</x:v>
      </x:c>
      <x:c r="G30" s="4" t="str">
        <x:v>Future populated catalog UI still needs to render ready-item cards; present UI explicitly says art pending.</x:v>
      </x:c>
    </x:row>
    <x:row r="31" ht="62" customHeight="1">
      <x:c r="A31" s="4" t="str">
        <x:v>Independent wardrobe slots</x:v>
      </x:c>
      <x:c r="B31" s="4" t="str">
        <x:v>Kael</x:v>
      </x:c>
      <x:c r="C31" s="4" t="str">
        <x:v>top</x:v>
      </x:c>
      <x:c r="D31" s="4" t="str">
        <x:v>assets/cosmetics/kossay/top/&lt;piece-id&gt;.png</x:v>
      </x:c>
      <x:c r="E31" s="4" t="str">
        <x:v>Each sellable piece: transparent 14×128×160 aligned sprite layer; all animation states; colors/opaque areas must not obscure required face/hand cues.</x:v>
      </x:c>
      <x:c r="F31" s="4" t="str">
        <x:v>MISSING ART</x:v>
      </x:c>
      <x:c r="G31" s="4" t="str">
        <x:v>Catalog id, hero, slot, key, status:ready, cost and ownership required. Current catalog empty; art must be previewed before enabling sales.</x:v>
      </x:c>
    </x:row>
    <x:row r="32" ht="62" customHeight="1">
      <x:c r="A32" s="4" t="str">
        <x:v>Wardrobe previews</x:v>
      </x:c>
      <x:c r="B32" s="4" t="str">
        <x:v>Kael</x:v>
      </x:c>
      <x:c r="C32" s="4" t="str">
        <x:v>top-thumbnail</x:v>
      </x:c>
      <x:c r="D32" s="4" t="str">
        <x:v>assets/cosmetics/kossay/top/&lt;piece-id&gt;-preview.png</x:v>
      </x:c>
      <x:c r="E32" s="4" t="str">
        <x:v>One isolated square preview/thumbnail per piece; transparent, same pixel style.</x:v>
      </x:c>
      <x:c r="F32" s="4" t="str">
        <x:v>MISSING ART</x:v>
      </x:c>
      <x:c r="G32" s="4" t="str">
        <x:v>Future populated catalog UI still needs to render ready-item cards; present UI explicitly says art pending.</x:v>
      </x:c>
    </x:row>
    <x:row r="33" ht="62" customHeight="1">
      <x:c r="A33" s="4" t="str">
        <x:v>Independent wardrobe slots</x:v>
      </x:c>
      <x:c r="B33" s="4" t="str">
        <x:v>Kael</x:v>
      </x:c>
      <x:c r="C33" s="4" t="str">
        <x:v>bottom</x:v>
      </x:c>
      <x:c r="D33" s="4" t="str">
        <x:v>assets/cosmetics/kossay/bottom/&lt;piece-id&gt;.png</x:v>
      </x:c>
      <x:c r="E33" s="4" t="str">
        <x:v>Each sellable piece: transparent 14×128×160 aligned sprite layer; all animation states; colors/opaque areas must not obscure required face/hand cues.</x:v>
      </x:c>
      <x:c r="F33" s="4" t="str">
        <x:v>MISSING ART</x:v>
      </x:c>
      <x:c r="G33" s="4" t="str">
        <x:v>Catalog id, hero, slot, key, status:ready, cost and ownership required. Current catalog empty; art must be previewed before enabling sales.</x:v>
      </x:c>
    </x:row>
    <x:row r="34" ht="62" customHeight="1">
      <x:c r="A34" s="4" t="str">
        <x:v>Wardrobe previews</x:v>
      </x:c>
      <x:c r="B34" s="4" t="str">
        <x:v>Kael</x:v>
      </x:c>
      <x:c r="C34" s="4" t="str">
        <x:v>bottom-thumbnail</x:v>
      </x:c>
      <x:c r="D34" s="4" t="str">
        <x:v>assets/cosmetics/kossay/bottom/&lt;piece-id&gt;-preview.png</x:v>
      </x:c>
      <x:c r="E34" s="4" t="str">
        <x:v>One isolated square preview/thumbnail per piece; transparent, same pixel style.</x:v>
      </x:c>
      <x:c r="F34" s="4" t="str">
        <x:v>MISSING ART</x:v>
      </x:c>
      <x:c r="G34" s="4" t="str">
        <x:v>Future populated catalog UI still needs to render ready-item cards; present UI explicitly says art pending.</x:v>
      </x:c>
    </x:row>
    <x:row r="35" ht="62" customHeight="1">
      <x:c r="A35" s="4" t="str">
        <x:v>Independent wardrobe slots</x:v>
      </x:c>
      <x:c r="B35" s="4" t="str">
        <x:v>Kael</x:v>
      </x:c>
      <x:c r="C35" s="4" t="str">
        <x:v>shoes</x:v>
      </x:c>
      <x:c r="D35" s="4" t="str">
        <x:v>assets/cosmetics/kossay/shoes/&lt;piece-id&gt;.png</x:v>
      </x:c>
      <x:c r="E35" s="4" t="str">
        <x:v>Each sellable piece: transparent 14×128×160 aligned sprite layer; all animation states; colors/opaque areas must not obscure required face/hand cues.</x:v>
      </x:c>
      <x:c r="F35" s="4" t="str">
        <x:v>MISSING ART</x:v>
      </x:c>
      <x:c r="G35" s="4" t="str">
        <x:v>Catalog id, hero, slot, key, status:ready, cost and ownership required. Current catalog empty; art must be previewed before enabling sales.</x:v>
      </x:c>
    </x:row>
    <x:row r="36" ht="62" customHeight="1">
      <x:c r="A36" s="4" t="str">
        <x:v>Wardrobe previews</x:v>
      </x:c>
      <x:c r="B36" s="4" t="str">
        <x:v>Kael</x:v>
      </x:c>
      <x:c r="C36" s="4" t="str">
        <x:v>shoes-thumbnail</x:v>
      </x:c>
      <x:c r="D36" s="4" t="str">
        <x:v>assets/cosmetics/kossay/shoes/&lt;piece-id&gt;-preview.png</x:v>
      </x:c>
      <x:c r="E36" s="4" t="str">
        <x:v>One isolated square preview/thumbnail per piece; transparent, same pixel style.</x:v>
      </x:c>
      <x:c r="F36" s="4" t="str">
        <x:v>MISSING ART</x:v>
      </x:c>
      <x:c r="G36" s="4" t="str">
        <x:v>Future populated catalog UI still needs to render ready-item cards; present UI explicitly says art pending.</x:v>
      </x:c>
    </x:row>
    <x:row r="37" ht="62" customHeight="1">
      <x:c r="A37" s="4" t="str">
        <x:v>Independent wardrobe slots</x:v>
      </x:c>
      <x:c r="B37" s="4" t="str">
        <x:v>Kael</x:v>
      </x:c>
      <x:c r="C37" s="4" t="str">
        <x:v>eyewear</x:v>
      </x:c>
      <x:c r="D37" s="4" t="str">
        <x:v>assets/cosmetics/kossay/eyewear/&lt;piece-id&gt;.png</x:v>
      </x:c>
      <x:c r="E37" s="4" t="str">
        <x:v>Each sellable piece: transparent 14×128×160 aligned sprite layer; all animation states; colors/opaque areas must not obscure required face/hand cues.</x:v>
      </x:c>
      <x:c r="F37" s="4" t="str">
        <x:v>MISSING ART</x:v>
      </x:c>
      <x:c r="G37" s="4" t="str">
        <x:v>Catalog id, hero, slot, key, status:ready, cost and ownership required. Current catalog empty; art must be previewed before enabling sales.</x:v>
      </x:c>
    </x:row>
    <x:row r="38" ht="62" customHeight="1">
      <x:c r="A38" s="4" t="str">
        <x:v>Wardrobe previews</x:v>
      </x:c>
      <x:c r="B38" s="4" t="str">
        <x:v>Kael</x:v>
      </x:c>
      <x:c r="C38" s="4" t="str">
        <x:v>eyewear-thumbnail</x:v>
      </x:c>
      <x:c r="D38" s="4" t="str">
        <x:v>assets/cosmetics/kossay/eyewear/&lt;piece-id&gt;-preview.png</x:v>
      </x:c>
      <x:c r="E38" s="4" t="str">
        <x:v>One isolated square preview/thumbnail per piece; transparent, same pixel style.</x:v>
      </x:c>
      <x:c r="F38" s="4" t="str">
        <x:v>MISSING ART</x:v>
      </x:c>
      <x:c r="G38" s="4" t="str">
        <x:v>Future populated catalog UI still needs to render ready-item cards; present UI explicitly says art pending.</x:v>
      </x:c>
    </x:row>
    <x:row r="39" ht="62" customHeight="1">
      <x:c r="A39" s="4" t="str">
        <x:v>Weapon-skin slots</x:v>
      </x:c>
      <x:c r="B39" s="4" t="str">
        <x:v>Kael</x:v>
      </x:c>
      <x:c r="C39" s="4" t="str">
        <x:v>weaponSkin</x:v>
      </x:c>
      <x:c r="D39" s="4" t="str">
        <x:v>assets/cosmetics/kossay/weaponSkin/&lt;skin-id&gt;.png</x:v>
      </x:c>
      <x:c r="E39" s="4" t="str">
        <x:v>Class-matched replacement for dual; single transparent image, explicit dimensions, normalized grip anchor, angle and logical height.</x:v>
      </x:c>
      <x:c r="F39" s="4" t="str">
        <x:v>MISSING ART</x:v>
      </x:c>
      <x:c r="G39" s="4" t="str">
        <x:v>Original signature PNG exists but is not a new sellable skin. New image requires a separate body and ready catalog item; no stats change.</x:v>
      </x:c>
    </x:row>
    <x:row r="40" ht="62" customHeight="1">
      <x:c r="A40" s="4" t="str">
        <x:v>Weapon-skin previews</x:v>
      </x:c>
      <x:c r="B40" s="4" t="str">
        <x:v>Kael</x:v>
      </x:c>
      <x:c r="C40" s="4" t="str">
        <x:v>weaponSkin-thumbnail</x:v>
      </x:c>
      <x:c r="D40" s="4" t="str">
        <x:v>assets/cosmetics/kossay/weaponSkin/&lt;skin-id&gt;-preview.png</x:v>
      </x:c>
      <x:c r="E40" s="4" t="str">
        <x:v>Isolated square preview of the new skin (may reuse the full single-image weapon PNG with contain fit).</x:v>
      </x:c>
      <x:c r="F40" s="4" t="str">
        <x:v>MISSING ART</x:v>
      </x:c>
      <x:c r="G40" s="4" t="str">
        <x:v>Can share source image if sufficiently readable, not necessarily a separate unique drawing.</x:v>
      </x:c>
    </x:row>
    <x:row r="41" ht="62" customHeight="1">
      <x:c r="A41" s="4" t="str">
        <x:v>Weapon holding</x:v>
      </x:c>
      <x:c r="B41" s="4" t="str">
        <x:v>Kael</x:v>
      </x:c>
      <x:c r="C41" s="4" t="str">
        <x:v>sockets</x:v>
      </x:c>
      <x:c r="D41" s="4" t="str">
        <x:v>assets/heroes/kossay/weapon-sockets.json</x:v>
      </x:c>
      <x:c r="E41" s="4" t="str">
        <x:v>Main and offhand grip positions for all 14 frames and per-body orientation review against real signature weapon.</x:v>
      </x:c>
      <x:c r="F41" s="4" t="str">
        <x:v>MISSING ART / RIG DATA</x:v>
      </x:c>
      <x:c r="G41" s="4" t="str">
        <x:v>Do not enable separate until clean body is approved. Bront hammer and Sol lance need corrected silhouettes.</x:v>
      </x:c>
    </x:row>
    <x:row r="42" ht="62" customHeight="1">
      <x:c r="A42" s="4" t="str">
        <x:v>Unarmed / clean rig</x:v>
      </x:c>
      <x:c r="B42" s="4" t="str">
        <x:v>Astra</x:v>
      </x:c>
      <x:c r="C42" s="4" t="str">
        <x:v>body</x:v>
      </x:c>
      <x:c r="D42" s="4" t="str">
        <x:v>assets/heroes/yakine/body-unarmed.png</x:v>
      </x:c>
      <x:c r="E42" s="4" t="str">
        <x:v>Weapon-free body, transparent 128×160 cells, all 14 legacy frames: idle0, run1–8, jump9, fall10, attack11–12, dodge13. Retain original identity and draw envelope.</x:v>
      </x:c>
      <x:c r="F42" s="4" t="str">
        <x:v>MISSING ART</x:v>
      </x:c>
      <x:c r="G42" s="4" t="str">
        <x:v>Do not paint over/erase held weapons without redrawing occluded hands, torso and outfit; training proxy is temporary.</x:v>
      </x:c>
    </x:row>
    <x:row r="43" ht="62" customHeight="1">
      <x:c r="A43" s="4" t="str">
        <x:v>Unarmed / lobby</x:v>
      </x:c>
      <x:c r="B43" s="4" t="str">
        <x:v>Astra</x:v>
      </x:c>
      <x:c r="C43" s="4" t="str">
        <x:v>idle-guard</x:v>
      </x:c>
      <x:c r="D43" s="4" t="str">
        <x:v>assets/heroes/yakine/unarmed-guard.png</x:v>
      </x:c>
      <x:c r="E43" s="4" t="str">
        <x:v>Distinct readable bare-hand guard/idle, 128×160, same origin as body.</x:v>
      </x:c>
      <x:c r="F43" s="4" t="str">
        <x:v>MISSING ART</x:v>
      </x:c>
      <x:c r="G43" s="4" t="str">
        <x:v>A dedicated guard clip needs a manifest hook when supplied; presently the labelled generic proxy is shown.</x:v>
      </x:c>
    </x:row>
    <x:row r="44" ht="62" customHeight="1">
      <x:c r="A44" s="4" t="str">
        <x:v>Unarmed / authored phase poses</x:v>
      </x:c>
      <x:c r="B44" s="4" t="str">
        <x:v>Astra</x:v>
      </x:c>
      <x:c r="C44" s="4" t="str">
        <x:v>startup</x:v>
      </x:c>
      <x:c r="D44" s="4" t="str">
        <x:v>assets/heroes/yakine/unarmed-startup.png</x:v>
      </x:c>
      <x:c r="E44" s="4" t="str">
        <x:v>128×160 transparent pose/clip aligned to original body origin; distinct fist anticipation, extension and return silhouette.</x:v>
      </x:c>
      <x:c r="F44" s="4" t="str">
        <x:v>MISSING ART</x:v>
      </x:c>
      <x:c r="G44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45" ht="62" customHeight="1">
      <x:c r="A45" s="4" t="str">
        <x:v>Unarmed / authored phase poses</x:v>
      </x:c>
      <x:c r="B45" s="4" t="str">
        <x:v>Astra</x:v>
      </x:c>
      <x:c r="C45" s="4" t="str">
        <x:v>active</x:v>
      </x:c>
      <x:c r="D45" s="4" t="str">
        <x:v>assets/heroes/yakine/unarmed-active.png</x:v>
      </x:c>
      <x:c r="E45" s="4" t="str">
        <x:v>128×160 transparent pose/clip aligned to original body origin; distinct fist anticipation, extension and return silhouette.</x:v>
      </x:c>
      <x:c r="F45" s="4" t="str">
        <x:v>MISSING ART</x:v>
      </x:c>
      <x:c r="G45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46" ht="62" customHeight="1">
      <x:c r="A46" s="4" t="str">
        <x:v>Unarmed / authored phase poses</x:v>
      </x:c>
      <x:c r="B46" s="4" t="str">
        <x:v>Astra</x:v>
      </x:c>
      <x:c r="C46" s="4" t="str">
        <x:v>recovery</x:v>
      </x:c>
      <x:c r="D46" s="4" t="str">
        <x:v>assets/heroes/yakine/unarmed-recovery.png</x:v>
      </x:c>
      <x:c r="E46" s="4" t="str">
        <x:v>128×160 transparent pose/clip aligned to original body origin; distinct fist anticipation, extension and return silhouette.</x:v>
      </x:c>
      <x:c r="F46" s="4" t="str">
        <x:v>MISSING ART</x:v>
      </x:c>
      <x:c r="G46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47" ht="62" customHeight="1">
      <x:c r="A47" s="4" t="str">
        <x:v>Modular body architecture</x:v>
      </x:c>
      <x:c r="B47" s="4" t="str">
        <x:v>Astra</x:v>
      </x:c>
      <x:c r="C47" s="4" t="str">
        <x:v>base</x:v>
      </x:c>
      <x:c r="D47" s="4" t="str">
        <x:v>assets/cosmetics/yakine/base.png</x:v>
      </x:c>
      <x:c r="E47" s="4" t="str">
        <x:v>Clean neutral-clothed/covered body rig, no replaceable outerwear/weapon baked in; 14×128×160 aligned cells.</x:v>
      </x:c>
      <x:c r="F47" s="4" t="str">
        <x:v>MISSING ART</x:v>
      </x:c>
      <x:c r="G47" s="4" t="str">
        <x:v>Body.modularBody.base manifest key required. This is a substantial authored rig split, not six overlays pasted on complete clothes.</x:v>
      </x:c>
    </x:row>
    <x:row r="48" ht="62" customHeight="1">
      <x:c r="A48" s="4" t="str">
        <x:v>Modular body architecture</x:v>
      </x:c>
      <x:c r="B48" s="4" t="str">
        <x:v>Astra</x:v>
      </x:c>
      <x:c r="C48" s="4" t="str">
        <x:v>front-mask</x:v>
      </x:c>
      <x:c r="D48" s="4" t="str">
        <x:v>assets/cosmetics/yakine/front.png</x:v>
      </x:c>
      <x:c r="E48" s="4" t="str">
        <x:v>Foreground hands/arms/hair occlusion mask, same 14 aligned frames.</x:v>
      </x:c>
      <x:c r="F48" s="4" t="str">
        <x:v>MISSING ART</x:v>
      </x:c>
      <x:c r="G48" s="4" t="str">
        <x:v>Body.modularBody.front required; optional rear sheet if clothing/hair extends behind body.</x:v>
      </x:c>
    </x:row>
    <x:row r="49" ht="62" customHeight="1">
      <x:c r="A49" s="4" t="str">
        <x:v>Modular body architecture</x:v>
      </x:c>
      <x:c r="B49" s="4" t="str">
        <x:v>Astra</x:v>
      </x:c>
      <x:c r="C49" s="4" t="str">
        <x:v>rear-mask</x:v>
      </x:c>
      <x:c r="D49" s="4" t="str">
        <x:v>assets/cosmetics/yakine/rear.png</x:v>
      </x:c>
      <x:c r="E49" s="4" t="str">
        <x:v>Optional rear hair/cape/weapon-strap occlusion split, 14 aligned frames.</x:v>
      </x:c>
      <x:c r="F49" s="4" t="str">
        <x:v>CONDITIONAL ART</x:v>
      </x:c>
      <x:c r="G49" s="4" t="str">
        <x:v>Only needed for silhouettes with rear components. Body.modularBody.rear is supported.</x:v>
      </x:c>
    </x:row>
    <x:row r="50" ht="62" customHeight="1">
      <x:c r="A50" s="4" t="str">
        <x:v>Independent wardrobe slots</x:v>
      </x:c>
      <x:c r="B50" s="4" t="str">
        <x:v>Astra</x:v>
      </x:c>
      <x:c r="C50" s="4" t="str">
        <x:v>hat</x:v>
      </x:c>
      <x:c r="D50" s="4" t="str">
        <x:v>assets/cosmetics/yakine/hat/&lt;piece-id&gt;.png</x:v>
      </x:c>
      <x:c r="E50" s="4" t="str">
        <x:v>Each sellable piece: transparent 14×128×160 aligned sprite layer; all animation states; colors/opaque areas must not obscure required face/hand cues.</x:v>
      </x:c>
      <x:c r="F50" s="4" t="str">
        <x:v>MISSING ART</x:v>
      </x:c>
      <x:c r="G50" s="4" t="str">
        <x:v>Catalog id, hero, slot, key, status:ready, cost and ownership required. Current catalog empty; art must be previewed before enabling sales.</x:v>
      </x:c>
    </x:row>
    <x:row r="51" ht="62" customHeight="1">
      <x:c r="A51" s="4" t="str">
        <x:v>Wardrobe previews</x:v>
      </x:c>
      <x:c r="B51" s="4" t="str">
        <x:v>Astra</x:v>
      </x:c>
      <x:c r="C51" s="4" t="str">
        <x:v>hat-thumbnail</x:v>
      </x:c>
      <x:c r="D51" s="4" t="str">
        <x:v>assets/cosmetics/yakine/hat/&lt;piece-id&gt;-preview.png</x:v>
      </x:c>
      <x:c r="E51" s="4" t="str">
        <x:v>One isolated square preview/thumbnail per piece; transparent, same pixel style.</x:v>
      </x:c>
      <x:c r="F51" s="4" t="str">
        <x:v>MISSING ART</x:v>
      </x:c>
      <x:c r="G51" s="4" t="str">
        <x:v>Future populated catalog UI still needs to render ready-item cards; present UI explicitly says art pending.</x:v>
      </x:c>
    </x:row>
    <x:row r="52" ht="62" customHeight="1">
      <x:c r="A52" s="4" t="str">
        <x:v>Independent wardrobe slots</x:v>
      </x:c>
      <x:c r="B52" s="4" t="str">
        <x:v>Astra</x:v>
      </x:c>
      <x:c r="C52" s="4" t="str">
        <x:v>top</x:v>
      </x:c>
      <x:c r="D52" s="4" t="str">
        <x:v>assets/cosmetics/yakine/top/&lt;piece-id&gt;.png</x:v>
      </x:c>
      <x:c r="E52" s="4" t="str">
        <x:v>Each sellable piece: transparent 14×128×160 aligned sprite layer; all animation states; colors/opaque areas must not obscure required face/hand cues.</x:v>
      </x:c>
      <x:c r="F52" s="4" t="str">
        <x:v>MISSING ART</x:v>
      </x:c>
      <x:c r="G52" s="4" t="str">
        <x:v>Catalog id, hero, slot, key, status:ready, cost and ownership required. Current catalog empty; art must be previewed before enabling sales.</x:v>
      </x:c>
    </x:row>
    <x:row r="53" ht="62" customHeight="1">
      <x:c r="A53" s="4" t="str">
        <x:v>Wardrobe previews</x:v>
      </x:c>
      <x:c r="B53" s="4" t="str">
        <x:v>Astra</x:v>
      </x:c>
      <x:c r="C53" s="4" t="str">
        <x:v>top-thumbnail</x:v>
      </x:c>
      <x:c r="D53" s="4" t="str">
        <x:v>assets/cosmetics/yakine/top/&lt;piece-id&gt;-preview.png</x:v>
      </x:c>
      <x:c r="E53" s="4" t="str">
        <x:v>One isolated square preview/thumbnail per piece; transparent, same pixel style.</x:v>
      </x:c>
      <x:c r="F53" s="4" t="str">
        <x:v>MISSING ART</x:v>
      </x:c>
      <x:c r="G53" s="4" t="str">
        <x:v>Future populated catalog UI still needs to render ready-item cards; present UI explicitly says art pending.</x:v>
      </x:c>
    </x:row>
    <x:row r="54" ht="62" customHeight="1">
      <x:c r="A54" s="4" t="str">
        <x:v>Independent wardrobe slots</x:v>
      </x:c>
      <x:c r="B54" s="4" t="str">
        <x:v>Astra</x:v>
      </x:c>
      <x:c r="C54" s="4" t="str">
        <x:v>bottom</x:v>
      </x:c>
      <x:c r="D54" s="4" t="str">
        <x:v>assets/cosmetics/yakine/bottom/&lt;piece-id&gt;.png</x:v>
      </x:c>
      <x:c r="E54" s="4" t="str">
        <x:v>Each sellable piece: transparent 14×128×160 aligned sprite layer; all animation states; colors/opaque areas must not obscure required face/hand cues.</x:v>
      </x:c>
      <x:c r="F54" s="4" t="str">
        <x:v>MISSING ART</x:v>
      </x:c>
      <x:c r="G54" s="4" t="str">
        <x:v>Catalog id, hero, slot, key, status:ready, cost and ownership required. Current catalog empty; art must be previewed before enabling sales.</x:v>
      </x:c>
    </x:row>
    <x:row r="55" ht="62" customHeight="1">
      <x:c r="A55" s="4" t="str">
        <x:v>Wardrobe previews</x:v>
      </x:c>
      <x:c r="B55" s="4" t="str">
        <x:v>Astra</x:v>
      </x:c>
      <x:c r="C55" s="4" t="str">
        <x:v>bottom-thumbnail</x:v>
      </x:c>
      <x:c r="D55" s="4" t="str">
        <x:v>assets/cosmetics/yakine/bottom/&lt;piece-id&gt;-preview.png</x:v>
      </x:c>
      <x:c r="E55" s="4" t="str">
        <x:v>One isolated square preview/thumbnail per piece; transparent, same pixel style.</x:v>
      </x:c>
      <x:c r="F55" s="4" t="str">
        <x:v>MISSING ART</x:v>
      </x:c>
      <x:c r="G55" s="4" t="str">
        <x:v>Future populated catalog UI still needs to render ready-item cards; present UI explicitly says art pending.</x:v>
      </x:c>
    </x:row>
    <x:row r="56" ht="62" customHeight="1">
      <x:c r="A56" s="4" t="str">
        <x:v>Independent wardrobe slots</x:v>
      </x:c>
      <x:c r="B56" s="4" t="str">
        <x:v>Astra</x:v>
      </x:c>
      <x:c r="C56" s="4" t="str">
        <x:v>shoes</x:v>
      </x:c>
      <x:c r="D56" s="4" t="str">
        <x:v>assets/cosmetics/yakine/shoes/&lt;piece-id&gt;.png</x:v>
      </x:c>
      <x:c r="E56" s="4" t="str">
        <x:v>Each sellable piece: transparent 14×128×160 aligned sprite layer; all animation states; colors/opaque areas must not obscure required face/hand cues.</x:v>
      </x:c>
      <x:c r="F56" s="4" t="str">
        <x:v>MISSING ART</x:v>
      </x:c>
      <x:c r="G56" s="4" t="str">
        <x:v>Catalog id, hero, slot, key, status:ready, cost and ownership required. Current catalog empty; art must be previewed before enabling sales.</x:v>
      </x:c>
    </x:row>
    <x:row r="57" ht="62" customHeight="1">
      <x:c r="A57" s="4" t="str">
        <x:v>Wardrobe previews</x:v>
      </x:c>
      <x:c r="B57" s="4" t="str">
        <x:v>Astra</x:v>
      </x:c>
      <x:c r="C57" s="4" t="str">
        <x:v>shoes-thumbnail</x:v>
      </x:c>
      <x:c r="D57" s="4" t="str">
        <x:v>assets/cosmetics/yakine/shoes/&lt;piece-id&gt;-preview.png</x:v>
      </x:c>
      <x:c r="E57" s="4" t="str">
        <x:v>One isolated square preview/thumbnail per piece; transparent, same pixel style.</x:v>
      </x:c>
      <x:c r="F57" s="4" t="str">
        <x:v>MISSING ART</x:v>
      </x:c>
      <x:c r="G57" s="4" t="str">
        <x:v>Future populated catalog UI still needs to render ready-item cards; present UI explicitly says art pending.</x:v>
      </x:c>
    </x:row>
    <x:row r="58" ht="62" customHeight="1">
      <x:c r="A58" s="4" t="str">
        <x:v>Independent wardrobe slots</x:v>
      </x:c>
      <x:c r="B58" s="4" t="str">
        <x:v>Astra</x:v>
      </x:c>
      <x:c r="C58" s="4" t="str">
        <x:v>eyewear</x:v>
      </x:c>
      <x:c r="D58" s="4" t="str">
        <x:v>assets/cosmetics/yakine/eyewear/&lt;piece-id&gt;.png</x:v>
      </x:c>
      <x:c r="E58" s="4" t="str">
        <x:v>Each sellable piece: transparent 14×128×160 aligned sprite layer; all animation states; colors/opaque areas must not obscure required face/hand cues.</x:v>
      </x:c>
      <x:c r="F58" s="4" t="str">
        <x:v>MISSING ART</x:v>
      </x:c>
      <x:c r="G58" s="4" t="str">
        <x:v>Catalog id, hero, slot, key, status:ready, cost and ownership required. Current catalog empty; art must be previewed before enabling sales.</x:v>
      </x:c>
    </x:row>
    <x:row r="59" ht="62" customHeight="1">
      <x:c r="A59" s="4" t="str">
        <x:v>Wardrobe previews</x:v>
      </x:c>
      <x:c r="B59" s="4" t="str">
        <x:v>Astra</x:v>
      </x:c>
      <x:c r="C59" s="4" t="str">
        <x:v>eyewear-thumbnail</x:v>
      </x:c>
      <x:c r="D59" s="4" t="str">
        <x:v>assets/cosmetics/yakine/eyewear/&lt;piece-id&gt;-preview.png</x:v>
      </x:c>
      <x:c r="E59" s="4" t="str">
        <x:v>One isolated square preview/thumbnail per piece; transparent, same pixel style.</x:v>
      </x:c>
      <x:c r="F59" s="4" t="str">
        <x:v>MISSING ART</x:v>
      </x:c>
      <x:c r="G59" s="4" t="str">
        <x:v>Future populated catalog UI still needs to render ready-item cards; present UI explicitly says art pending.</x:v>
      </x:c>
    </x:row>
    <x:row r="60" ht="62" customHeight="1">
      <x:c r="A60" s="4" t="str">
        <x:v>Weapon-skin slots</x:v>
      </x:c>
      <x:c r="B60" s="4" t="str">
        <x:v>Astra</x:v>
      </x:c>
      <x:c r="C60" s="4" t="str">
        <x:v>weaponSkin</x:v>
      </x:c>
      <x:c r="D60" s="4" t="str">
        <x:v>assets/cosmetics/yakine/weaponSkin/&lt;skin-id&gt;.png</x:v>
      </x:c>
      <x:c r="E60" s="4" t="str">
        <x:v>Class-matched replacement for staff; single transparent image, explicit dimensions, normalized grip anchor, angle and logical height.</x:v>
      </x:c>
      <x:c r="F60" s="4" t="str">
        <x:v>MISSING ART</x:v>
      </x:c>
      <x:c r="G60" s="4" t="str">
        <x:v>Original signature PNG exists but is not a new sellable skin. New image requires a separate body and ready catalog item; no stats change.</x:v>
      </x:c>
    </x:row>
    <x:row r="61" ht="62" customHeight="1">
      <x:c r="A61" s="4" t="str">
        <x:v>Weapon-skin previews</x:v>
      </x:c>
      <x:c r="B61" s="4" t="str">
        <x:v>Astra</x:v>
      </x:c>
      <x:c r="C61" s="4" t="str">
        <x:v>weaponSkin-thumbnail</x:v>
      </x:c>
      <x:c r="D61" s="4" t="str">
        <x:v>assets/cosmetics/yakine/weaponSkin/&lt;skin-id&gt;-preview.png</x:v>
      </x:c>
      <x:c r="E61" s="4" t="str">
        <x:v>Isolated square preview of the new skin (may reuse the full single-image weapon PNG with contain fit).</x:v>
      </x:c>
      <x:c r="F61" s="4" t="str">
        <x:v>MISSING ART</x:v>
      </x:c>
      <x:c r="G61" s="4" t="str">
        <x:v>Can share source image if sufficiently readable, not necessarily a separate unique drawing.</x:v>
      </x:c>
    </x:row>
    <x:row r="62" ht="62" customHeight="1">
      <x:c r="A62" s="4" t="str">
        <x:v>Weapon holding</x:v>
      </x:c>
      <x:c r="B62" s="4" t="str">
        <x:v>Astra</x:v>
      </x:c>
      <x:c r="C62" s="4" t="str">
        <x:v>sockets</x:v>
      </x:c>
      <x:c r="D62" s="4" t="str">
        <x:v>assets/heroes/yakine/weapon-sockets.json</x:v>
      </x:c>
      <x:c r="E62" s="4" t="str">
        <x:v>Main and offhand grip positions for all 14 frames and per-body orientation review against real signature weapon.</x:v>
      </x:c>
      <x:c r="F62" s="4" t="str">
        <x:v>MISSING ART / RIG DATA</x:v>
      </x:c>
      <x:c r="G62" s="4" t="str">
        <x:v>Do not enable separate until clean body is approved. Bront hammer and Sol lance need corrected silhouettes.</x:v>
      </x:c>
    </x:row>
    <x:row r="63" ht="62" customHeight="1">
      <x:c r="A63" s="4" t="str">
        <x:v>Unarmed / clean rig</x:v>
      </x:c>
      <x:c r="B63" s="4" t="str">
        <x:v>Nyx</x:v>
      </x:c>
      <x:c r="C63" s="4" t="str">
        <x:v>body</x:v>
      </x:c>
      <x:c r="D63" s="4" t="str">
        <x:v>assets/heroes/taky/body-unarmed.png</x:v>
      </x:c>
      <x:c r="E63" s="4" t="str">
        <x:v>Weapon-free body, transparent 128×160 cells, all 14 legacy frames: idle0, run1–8, jump9, fall10, attack11–12, dodge13. Retain original identity and draw envelope.</x:v>
      </x:c>
      <x:c r="F63" s="4" t="str">
        <x:v>MISSING ART</x:v>
      </x:c>
      <x:c r="G63" s="4" t="str">
        <x:v>Do not paint over/erase held weapons without redrawing occluded hands, torso and outfit; training proxy is temporary.</x:v>
      </x:c>
    </x:row>
    <x:row r="64" ht="62" customHeight="1">
      <x:c r="A64" s="4" t="str">
        <x:v>Unarmed / lobby</x:v>
      </x:c>
      <x:c r="B64" s="4" t="str">
        <x:v>Nyx</x:v>
      </x:c>
      <x:c r="C64" s="4" t="str">
        <x:v>idle-guard</x:v>
      </x:c>
      <x:c r="D64" s="4" t="str">
        <x:v>assets/heroes/taky/unarmed-guard.png</x:v>
      </x:c>
      <x:c r="E64" s="4" t="str">
        <x:v>Distinct readable bare-hand guard/idle, 128×160, same origin as body.</x:v>
      </x:c>
      <x:c r="F64" s="4" t="str">
        <x:v>MISSING ART</x:v>
      </x:c>
      <x:c r="G64" s="4" t="str">
        <x:v>A dedicated guard clip needs a manifest hook when supplied; presently the labelled generic proxy is shown.</x:v>
      </x:c>
    </x:row>
    <x:row r="65" ht="62" customHeight="1">
      <x:c r="A65" s="4" t="str">
        <x:v>Unarmed / authored phase poses</x:v>
      </x:c>
      <x:c r="B65" s="4" t="str">
        <x:v>Nyx</x:v>
      </x:c>
      <x:c r="C65" s="4" t="str">
        <x:v>startup</x:v>
      </x:c>
      <x:c r="D65" s="4" t="str">
        <x:v>assets/heroes/taky/unarmed-startup.png</x:v>
      </x:c>
      <x:c r="E65" s="4" t="str">
        <x:v>128×160 transparent pose/clip aligned to original body origin; distinct fist anticipation, extension and return silhouette.</x:v>
      </x:c>
      <x:c r="F65" s="4" t="str">
        <x:v>MISSING ART</x:v>
      </x:c>
      <x:c r="G65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66" ht="62" customHeight="1">
      <x:c r="A66" s="4" t="str">
        <x:v>Unarmed / authored phase poses</x:v>
      </x:c>
      <x:c r="B66" s="4" t="str">
        <x:v>Nyx</x:v>
      </x:c>
      <x:c r="C66" s="4" t="str">
        <x:v>active</x:v>
      </x:c>
      <x:c r="D66" s="4" t="str">
        <x:v>assets/heroes/taky/unarmed-active.png</x:v>
      </x:c>
      <x:c r="E66" s="4" t="str">
        <x:v>128×160 transparent pose/clip aligned to original body origin; distinct fist anticipation, extension and return silhouette.</x:v>
      </x:c>
      <x:c r="F66" s="4" t="str">
        <x:v>MISSING ART</x:v>
      </x:c>
      <x:c r="G66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67" ht="62" customHeight="1">
      <x:c r="A67" s="4" t="str">
        <x:v>Unarmed / authored phase poses</x:v>
      </x:c>
      <x:c r="B67" s="4" t="str">
        <x:v>Nyx</x:v>
      </x:c>
      <x:c r="C67" s="4" t="str">
        <x:v>recovery</x:v>
      </x:c>
      <x:c r="D67" s="4" t="str">
        <x:v>assets/heroes/taky/unarmed-recovery.png</x:v>
      </x:c>
      <x:c r="E67" s="4" t="str">
        <x:v>128×160 transparent pose/clip aligned to original body origin; distinct fist anticipation, extension and return silhouette.</x:v>
      </x:c>
      <x:c r="F67" s="4" t="str">
        <x:v>MISSING ART</x:v>
      </x:c>
      <x:c r="G67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68" ht="62" customHeight="1">
      <x:c r="A68" s="4" t="str">
        <x:v>Modular body architecture</x:v>
      </x:c>
      <x:c r="B68" s="4" t="str">
        <x:v>Nyx</x:v>
      </x:c>
      <x:c r="C68" s="4" t="str">
        <x:v>base</x:v>
      </x:c>
      <x:c r="D68" s="4" t="str">
        <x:v>assets/cosmetics/taky/base.png</x:v>
      </x:c>
      <x:c r="E68" s="4" t="str">
        <x:v>Clean neutral-clothed/covered body rig, no replaceable outerwear/weapon baked in; 14×128×160 aligned cells.</x:v>
      </x:c>
      <x:c r="F68" s="4" t="str">
        <x:v>MISSING ART</x:v>
      </x:c>
      <x:c r="G68" s="4" t="str">
        <x:v>Body.modularBody.base manifest key required. This is a substantial authored rig split, not six overlays pasted on complete clothes.</x:v>
      </x:c>
    </x:row>
    <x:row r="69" ht="62" customHeight="1">
      <x:c r="A69" s="4" t="str">
        <x:v>Modular body architecture</x:v>
      </x:c>
      <x:c r="B69" s="4" t="str">
        <x:v>Nyx</x:v>
      </x:c>
      <x:c r="C69" s="4" t="str">
        <x:v>front-mask</x:v>
      </x:c>
      <x:c r="D69" s="4" t="str">
        <x:v>assets/cosmetics/taky/front.png</x:v>
      </x:c>
      <x:c r="E69" s="4" t="str">
        <x:v>Foreground hands/arms/hair occlusion mask, same 14 aligned frames.</x:v>
      </x:c>
      <x:c r="F69" s="4" t="str">
        <x:v>MISSING ART</x:v>
      </x:c>
      <x:c r="G69" s="4" t="str">
        <x:v>Body.modularBody.front required; optional rear sheet if clothing/hair extends behind body.</x:v>
      </x:c>
    </x:row>
    <x:row r="70" ht="62" customHeight="1">
      <x:c r="A70" s="4" t="str">
        <x:v>Modular body architecture</x:v>
      </x:c>
      <x:c r="B70" s="4" t="str">
        <x:v>Nyx</x:v>
      </x:c>
      <x:c r="C70" s="4" t="str">
        <x:v>rear-mask</x:v>
      </x:c>
      <x:c r="D70" s="4" t="str">
        <x:v>assets/cosmetics/taky/rear.png</x:v>
      </x:c>
      <x:c r="E70" s="4" t="str">
        <x:v>Optional rear hair/cape/weapon-strap occlusion split, 14 aligned frames.</x:v>
      </x:c>
      <x:c r="F70" s="4" t="str">
        <x:v>CONDITIONAL ART</x:v>
      </x:c>
      <x:c r="G70" s="4" t="str">
        <x:v>Only needed for silhouettes with rear components. Body.modularBody.rear is supported.</x:v>
      </x:c>
    </x:row>
    <x:row r="71" ht="62" customHeight="1">
      <x:c r="A71" s="4" t="str">
        <x:v>Independent wardrobe slots</x:v>
      </x:c>
      <x:c r="B71" s="4" t="str">
        <x:v>Nyx</x:v>
      </x:c>
      <x:c r="C71" s="4" t="str">
        <x:v>hat</x:v>
      </x:c>
      <x:c r="D71" s="4" t="str">
        <x:v>assets/cosmetics/taky/hat/&lt;piece-id&gt;.png</x:v>
      </x:c>
      <x:c r="E71" s="4" t="str">
        <x:v>Each sellable piece: transparent 14×128×160 aligned sprite layer; all animation states; colors/opaque areas must not obscure required face/hand cues.</x:v>
      </x:c>
      <x:c r="F71" s="4" t="str">
        <x:v>MISSING ART</x:v>
      </x:c>
      <x:c r="G71" s="4" t="str">
        <x:v>Catalog id, hero, slot, key, status:ready, cost and ownership required. Current catalog empty; art must be previewed before enabling sales.</x:v>
      </x:c>
    </x:row>
    <x:row r="72" ht="62" customHeight="1">
      <x:c r="A72" s="4" t="str">
        <x:v>Wardrobe previews</x:v>
      </x:c>
      <x:c r="B72" s="4" t="str">
        <x:v>Nyx</x:v>
      </x:c>
      <x:c r="C72" s="4" t="str">
        <x:v>hat-thumbnail</x:v>
      </x:c>
      <x:c r="D72" s="4" t="str">
        <x:v>assets/cosmetics/taky/hat/&lt;piece-id&gt;-preview.png</x:v>
      </x:c>
      <x:c r="E72" s="4" t="str">
        <x:v>One isolated square preview/thumbnail per piece; transparent, same pixel style.</x:v>
      </x:c>
      <x:c r="F72" s="4" t="str">
        <x:v>MISSING ART</x:v>
      </x:c>
      <x:c r="G72" s="4" t="str">
        <x:v>Future populated catalog UI still needs to render ready-item cards; present UI explicitly says art pending.</x:v>
      </x:c>
    </x:row>
    <x:row r="73" ht="62" customHeight="1">
      <x:c r="A73" s="4" t="str">
        <x:v>Independent wardrobe slots</x:v>
      </x:c>
      <x:c r="B73" s="4" t="str">
        <x:v>Nyx</x:v>
      </x:c>
      <x:c r="C73" s="4" t="str">
        <x:v>top</x:v>
      </x:c>
      <x:c r="D73" s="4" t="str">
        <x:v>assets/cosmetics/taky/top/&lt;piece-id&gt;.png</x:v>
      </x:c>
      <x:c r="E73" s="4" t="str">
        <x:v>Each sellable piece: transparent 14×128×160 aligned sprite layer; all animation states; colors/opaque areas must not obscure required face/hand cues.</x:v>
      </x:c>
      <x:c r="F73" s="4" t="str">
        <x:v>MISSING ART</x:v>
      </x:c>
      <x:c r="G73" s="4" t="str">
        <x:v>Catalog id, hero, slot, key, status:ready, cost and ownership required. Current catalog empty; art must be previewed before enabling sales.</x:v>
      </x:c>
    </x:row>
    <x:row r="74" ht="62" customHeight="1">
      <x:c r="A74" s="4" t="str">
        <x:v>Wardrobe previews</x:v>
      </x:c>
      <x:c r="B74" s="4" t="str">
        <x:v>Nyx</x:v>
      </x:c>
      <x:c r="C74" s="4" t="str">
        <x:v>top-thumbnail</x:v>
      </x:c>
      <x:c r="D74" s="4" t="str">
        <x:v>assets/cosmetics/taky/top/&lt;piece-id&gt;-preview.png</x:v>
      </x:c>
      <x:c r="E74" s="4" t="str">
        <x:v>One isolated square preview/thumbnail per piece; transparent, same pixel style.</x:v>
      </x:c>
      <x:c r="F74" s="4" t="str">
        <x:v>MISSING ART</x:v>
      </x:c>
      <x:c r="G74" s="4" t="str">
        <x:v>Future populated catalog UI still needs to render ready-item cards; present UI explicitly says art pending.</x:v>
      </x:c>
    </x:row>
    <x:row r="75" ht="62" customHeight="1">
      <x:c r="A75" s="4" t="str">
        <x:v>Independent wardrobe slots</x:v>
      </x:c>
      <x:c r="B75" s="4" t="str">
        <x:v>Nyx</x:v>
      </x:c>
      <x:c r="C75" s="4" t="str">
        <x:v>bottom</x:v>
      </x:c>
      <x:c r="D75" s="4" t="str">
        <x:v>assets/cosmetics/taky/bottom/&lt;piece-id&gt;.png</x:v>
      </x:c>
      <x:c r="E75" s="4" t="str">
        <x:v>Each sellable piece: transparent 14×128×160 aligned sprite layer; all animation states; colors/opaque areas must not obscure required face/hand cues.</x:v>
      </x:c>
      <x:c r="F75" s="4" t="str">
        <x:v>MISSING ART</x:v>
      </x:c>
      <x:c r="G75" s="4" t="str">
        <x:v>Catalog id, hero, slot, key, status:ready, cost and ownership required. Current catalog empty; art must be previewed before enabling sales.</x:v>
      </x:c>
    </x:row>
    <x:row r="76" ht="62" customHeight="1">
      <x:c r="A76" s="4" t="str">
        <x:v>Wardrobe previews</x:v>
      </x:c>
      <x:c r="B76" s="4" t="str">
        <x:v>Nyx</x:v>
      </x:c>
      <x:c r="C76" s="4" t="str">
        <x:v>bottom-thumbnail</x:v>
      </x:c>
      <x:c r="D76" s="4" t="str">
        <x:v>assets/cosmetics/taky/bottom/&lt;piece-id&gt;-preview.png</x:v>
      </x:c>
      <x:c r="E76" s="4" t="str">
        <x:v>One isolated square preview/thumbnail per piece; transparent, same pixel style.</x:v>
      </x:c>
      <x:c r="F76" s="4" t="str">
        <x:v>MISSING ART</x:v>
      </x:c>
      <x:c r="G76" s="4" t="str">
        <x:v>Future populated catalog UI still needs to render ready-item cards; present UI explicitly says art pending.</x:v>
      </x:c>
    </x:row>
    <x:row r="77" ht="62" customHeight="1">
      <x:c r="A77" s="4" t="str">
        <x:v>Independent wardrobe slots</x:v>
      </x:c>
      <x:c r="B77" s="4" t="str">
        <x:v>Nyx</x:v>
      </x:c>
      <x:c r="C77" s="4" t="str">
        <x:v>shoes</x:v>
      </x:c>
      <x:c r="D77" s="4" t="str">
        <x:v>assets/cosmetics/taky/shoes/&lt;piece-id&gt;.png</x:v>
      </x:c>
      <x:c r="E77" s="4" t="str">
        <x:v>Each sellable piece: transparent 14×128×160 aligned sprite layer; all animation states; colors/opaque areas must not obscure required face/hand cues.</x:v>
      </x:c>
      <x:c r="F77" s="4" t="str">
        <x:v>MISSING ART</x:v>
      </x:c>
      <x:c r="G77" s="4" t="str">
        <x:v>Catalog id, hero, slot, key, status:ready, cost and ownership required. Current catalog empty; art must be previewed before enabling sales.</x:v>
      </x:c>
    </x:row>
    <x:row r="78" ht="62" customHeight="1">
      <x:c r="A78" s="4" t="str">
        <x:v>Wardrobe previews</x:v>
      </x:c>
      <x:c r="B78" s="4" t="str">
        <x:v>Nyx</x:v>
      </x:c>
      <x:c r="C78" s="4" t="str">
        <x:v>shoes-thumbnail</x:v>
      </x:c>
      <x:c r="D78" s="4" t="str">
        <x:v>assets/cosmetics/taky/shoes/&lt;piece-id&gt;-preview.png</x:v>
      </x:c>
      <x:c r="E78" s="4" t="str">
        <x:v>One isolated square preview/thumbnail per piece; transparent, same pixel style.</x:v>
      </x:c>
      <x:c r="F78" s="4" t="str">
        <x:v>MISSING ART</x:v>
      </x:c>
      <x:c r="G78" s="4" t="str">
        <x:v>Future populated catalog UI still needs to render ready-item cards; present UI explicitly says art pending.</x:v>
      </x:c>
    </x:row>
    <x:row r="79" ht="62" customHeight="1">
      <x:c r="A79" s="4" t="str">
        <x:v>Independent wardrobe slots</x:v>
      </x:c>
      <x:c r="B79" s="4" t="str">
        <x:v>Nyx</x:v>
      </x:c>
      <x:c r="C79" s="4" t="str">
        <x:v>eyewear</x:v>
      </x:c>
      <x:c r="D79" s="4" t="str">
        <x:v>assets/cosmetics/taky/eyewear/&lt;piece-id&gt;.png</x:v>
      </x:c>
      <x:c r="E79" s="4" t="str">
        <x:v>Each sellable piece: transparent 14×128×160 aligned sprite layer; all animation states; colors/opaque areas must not obscure required face/hand cues.</x:v>
      </x:c>
      <x:c r="F79" s="4" t="str">
        <x:v>MISSING ART</x:v>
      </x:c>
      <x:c r="G79" s="4" t="str">
        <x:v>Catalog id, hero, slot, key, status:ready, cost and ownership required. Current catalog empty; art must be previewed before enabling sales.</x:v>
      </x:c>
    </x:row>
    <x:row r="80" ht="62" customHeight="1">
      <x:c r="A80" s="4" t="str">
        <x:v>Wardrobe previews</x:v>
      </x:c>
      <x:c r="B80" s="4" t="str">
        <x:v>Nyx</x:v>
      </x:c>
      <x:c r="C80" s="4" t="str">
        <x:v>eyewear-thumbnail</x:v>
      </x:c>
      <x:c r="D80" s="4" t="str">
        <x:v>assets/cosmetics/taky/eyewear/&lt;piece-id&gt;-preview.png</x:v>
      </x:c>
      <x:c r="E80" s="4" t="str">
        <x:v>One isolated square preview/thumbnail per piece; transparent, same pixel style.</x:v>
      </x:c>
      <x:c r="F80" s="4" t="str">
        <x:v>MISSING ART</x:v>
      </x:c>
      <x:c r="G80" s="4" t="str">
        <x:v>Future populated catalog UI still needs to render ready-item cards; present UI explicitly says art pending.</x:v>
      </x:c>
    </x:row>
    <x:row r="81" ht="62" customHeight="1">
      <x:c r="A81" s="4" t="str">
        <x:v>Weapon-skin slots</x:v>
      </x:c>
      <x:c r="B81" s="4" t="str">
        <x:v>Nyx</x:v>
      </x:c>
      <x:c r="C81" s="4" t="str">
        <x:v>weaponSkin</x:v>
      </x:c>
      <x:c r="D81" s="4" t="str">
        <x:v>assets/cosmetics/taky/weaponSkin/&lt;skin-id&gt;.png</x:v>
      </x:c>
      <x:c r="E81" s="4" t="str">
        <x:v>Class-matched replacement for dagger; single transparent image, explicit dimensions, normalized grip anchor, angle and logical height.</x:v>
      </x:c>
      <x:c r="F81" s="4" t="str">
        <x:v>MISSING ART</x:v>
      </x:c>
      <x:c r="G81" s="4" t="str">
        <x:v>Original signature PNG exists but is not a new sellable skin. New image requires a separate body and ready catalog item; no stats change.</x:v>
      </x:c>
    </x:row>
    <x:row r="82" ht="62" customHeight="1">
      <x:c r="A82" s="4" t="str">
        <x:v>Weapon-skin previews</x:v>
      </x:c>
      <x:c r="B82" s="4" t="str">
        <x:v>Nyx</x:v>
      </x:c>
      <x:c r="C82" s="4" t="str">
        <x:v>weaponSkin-thumbnail</x:v>
      </x:c>
      <x:c r="D82" s="4" t="str">
        <x:v>assets/cosmetics/taky/weaponSkin/&lt;skin-id&gt;-preview.png</x:v>
      </x:c>
      <x:c r="E82" s="4" t="str">
        <x:v>Isolated square preview of the new skin (may reuse the full single-image weapon PNG with contain fit).</x:v>
      </x:c>
      <x:c r="F82" s="4" t="str">
        <x:v>MISSING ART</x:v>
      </x:c>
      <x:c r="G82" s="4" t="str">
        <x:v>Can share source image if sufficiently readable, not necessarily a separate unique drawing.</x:v>
      </x:c>
    </x:row>
    <x:row r="83" ht="62" customHeight="1">
      <x:c r="A83" s="4" t="str">
        <x:v>Weapon holding</x:v>
      </x:c>
      <x:c r="B83" s="4" t="str">
        <x:v>Nyx</x:v>
      </x:c>
      <x:c r="C83" s="4" t="str">
        <x:v>sockets</x:v>
      </x:c>
      <x:c r="D83" s="4" t="str">
        <x:v>assets/heroes/taky/weapon-sockets.json</x:v>
      </x:c>
      <x:c r="E83" s="4" t="str">
        <x:v>Main and offhand grip positions for all 14 frames and per-body orientation review against real signature weapon.</x:v>
      </x:c>
      <x:c r="F83" s="4" t="str">
        <x:v>MISSING ART / RIG DATA</x:v>
      </x:c>
      <x:c r="G83" s="4" t="str">
        <x:v>Do not enable separate until clean body is approved. Bront hammer and Sol lance need corrected silhouettes.</x:v>
      </x:c>
    </x:row>
    <x:row r="84" ht="62" customHeight="1">
      <x:c r="A84" s="4" t="str">
        <x:v>Unarmed / clean rig</x:v>
      </x:c>
      <x:c r="B84" s="4" t="str">
        <x:v>Bront</x:v>
      </x:c>
      <x:c r="C84" s="4" t="str">
        <x:v>body</x:v>
      </x:c>
      <x:c r="D84" s="4" t="str">
        <x:v>assets/heroes/garsi/body-unarmed.png</x:v>
      </x:c>
      <x:c r="E84" s="4" t="str">
        <x:v>Weapon-free body, transparent 128×160 cells, all 14 legacy frames: idle0, run1–8, jump9, fall10, attack11–12, dodge13. Retain original identity and draw envelope.</x:v>
      </x:c>
      <x:c r="F84" s="4" t="str">
        <x:v>MISSING ART</x:v>
      </x:c>
      <x:c r="G84" s="4" t="str">
        <x:v>Do not paint over/erase held weapons without redrawing occluded hands, torso and outfit; training proxy is temporary.</x:v>
      </x:c>
    </x:row>
    <x:row r="85" ht="62" customHeight="1">
      <x:c r="A85" s="4" t="str">
        <x:v>Unarmed / lobby</x:v>
      </x:c>
      <x:c r="B85" s="4" t="str">
        <x:v>Bront</x:v>
      </x:c>
      <x:c r="C85" s="4" t="str">
        <x:v>idle-guard</x:v>
      </x:c>
      <x:c r="D85" s="4" t="str">
        <x:v>assets/heroes/garsi/unarmed-guard.png</x:v>
      </x:c>
      <x:c r="E85" s="4" t="str">
        <x:v>Distinct readable bare-hand guard/idle, 128×160, same origin as body.</x:v>
      </x:c>
      <x:c r="F85" s="4" t="str">
        <x:v>MISSING ART</x:v>
      </x:c>
      <x:c r="G85" s="4" t="str">
        <x:v>A dedicated guard clip needs a manifest hook when supplied; presently the labelled generic proxy is shown.</x:v>
      </x:c>
    </x:row>
    <x:row r="86" ht="62" customHeight="1">
      <x:c r="A86" s="4" t="str">
        <x:v>Unarmed / authored phase poses</x:v>
      </x:c>
      <x:c r="B86" s="4" t="str">
        <x:v>Bront</x:v>
      </x:c>
      <x:c r="C86" s="4" t="str">
        <x:v>startup</x:v>
      </x:c>
      <x:c r="D86" s="4" t="str">
        <x:v>assets/heroes/garsi/unarmed-startup.png</x:v>
      </x:c>
      <x:c r="E86" s="4" t="str">
        <x:v>128×160 transparent pose/clip aligned to original body origin; distinct fist anticipation, extension and return silhouette.</x:v>
      </x:c>
      <x:c r="F86" s="4" t="str">
        <x:v>MISSING ART</x:v>
      </x:c>
      <x:c r="G86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87" ht="62" customHeight="1">
      <x:c r="A87" s="4" t="str">
        <x:v>Unarmed / authored phase poses</x:v>
      </x:c>
      <x:c r="B87" s="4" t="str">
        <x:v>Bront</x:v>
      </x:c>
      <x:c r="C87" s="4" t="str">
        <x:v>active</x:v>
      </x:c>
      <x:c r="D87" s="4" t="str">
        <x:v>assets/heroes/garsi/unarmed-active.png</x:v>
      </x:c>
      <x:c r="E87" s="4" t="str">
        <x:v>128×160 transparent pose/clip aligned to original body origin; distinct fist anticipation, extension and return silhouette.</x:v>
      </x:c>
      <x:c r="F87" s="4" t="str">
        <x:v>MISSING ART</x:v>
      </x:c>
      <x:c r="G87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88" ht="62" customHeight="1">
      <x:c r="A88" s="4" t="str">
        <x:v>Unarmed / authored phase poses</x:v>
      </x:c>
      <x:c r="B88" s="4" t="str">
        <x:v>Bront</x:v>
      </x:c>
      <x:c r="C88" s="4" t="str">
        <x:v>recovery</x:v>
      </x:c>
      <x:c r="D88" s="4" t="str">
        <x:v>assets/heroes/garsi/unarmed-recovery.png</x:v>
      </x:c>
      <x:c r="E88" s="4" t="str">
        <x:v>128×160 transparent pose/clip aligned to original body origin; distinct fist anticipation, extension and return silhouette.</x:v>
      </x:c>
      <x:c r="F88" s="4" t="str">
        <x:v>MISSING ART</x:v>
      </x:c>
      <x:c r="G88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89" ht="62" customHeight="1">
      <x:c r="A89" s="4" t="str">
        <x:v>Modular body architecture</x:v>
      </x:c>
      <x:c r="B89" s="4" t="str">
        <x:v>Bront</x:v>
      </x:c>
      <x:c r="C89" s="4" t="str">
        <x:v>base</x:v>
      </x:c>
      <x:c r="D89" s="4" t="str">
        <x:v>assets/cosmetics/garsi/base.png</x:v>
      </x:c>
      <x:c r="E89" s="4" t="str">
        <x:v>Clean neutral-clothed/covered body rig, no replaceable outerwear/weapon baked in; 14×128×160 aligned cells.</x:v>
      </x:c>
      <x:c r="F89" s="4" t="str">
        <x:v>MISSING ART</x:v>
      </x:c>
      <x:c r="G89" s="4" t="str">
        <x:v>Body.modularBody.base manifest key required. This is a substantial authored rig split, not six overlays pasted on complete clothes.</x:v>
      </x:c>
    </x:row>
    <x:row r="90" ht="62" customHeight="1">
      <x:c r="A90" s="4" t="str">
        <x:v>Modular body architecture</x:v>
      </x:c>
      <x:c r="B90" s="4" t="str">
        <x:v>Bront</x:v>
      </x:c>
      <x:c r="C90" s="4" t="str">
        <x:v>front-mask</x:v>
      </x:c>
      <x:c r="D90" s="4" t="str">
        <x:v>assets/cosmetics/garsi/front.png</x:v>
      </x:c>
      <x:c r="E90" s="4" t="str">
        <x:v>Foreground hands/arms/hair occlusion mask, same 14 aligned frames.</x:v>
      </x:c>
      <x:c r="F90" s="4" t="str">
        <x:v>MISSING ART</x:v>
      </x:c>
      <x:c r="G90" s="4" t="str">
        <x:v>Body.modularBody.front required; optional rear sheet if clothing/hair extends behind body.</x:v>
      </x:c>
    </x:row>
    <x:row r="91" ht="62" customHeight="1">
      <x:c r="A91" s="4" t="str">
        <x:v>Modular body architecture</x:v>
      </x:c>
      <x:c r="B91" s="4" t="str">
        <x:v>Bront</x:v>
      </x:c>
      <x:c r="C91" s="4" t="str">
        <x:v>rear-mask</x:v>
      </x:c>
      <x:c r="D91" s="4" t="str">
        <x:v>assets/cosmetics/garsi/rear.png</x:v>
      </x:c>
      <x:c r="E91" s="4" t="str">
        <x:v>Optional rear hair/cape/weapon-strap occlusion split, 14 aligned frames.</x:v>
      </x:c>
      <x:c r="F91" s="4" t="str">
        <x:v>CONDITIONAL ART</x:v>
      </x:c>
      <x:c r="G91" s="4" t="str">
        <x:v>Only needed for silhouettes with rear components. Body.modularBody.rear is supported.</x:v>
      </x:c>
    </x:row>
    <x:row r="92" ht="62" customHeight="1">
      <x:c r="A92" s="4" t="str">
        <x:v>Independent wardrobe slots</x:v>
      </x:c>
      <x:c r="B92" s="4" t="str">
        <x:v>Bront</x:v>
      </x:c>
      <x:c r="C92" s="4" t="str">
        <x:v>hat</x:v>
      </x:c>
      <x:c r="D92" s="4" t="str">
        <x:v>assets/cosmetics/garsi/hat/&lt;piece-id&gt;.png</x:v>
      </x:c>
      <x:c r="E92" s="4" t="str">
        <x:v>Each sellable piece: transparent 14×128×160 aligned sprite layer; all animation states; colors/opaque areas must not obscure required face/hand cues.</x:v>
      </x:c>
      <x:c r="F92" s="4" t="str">
        <x:v>MISSING ART</x:v>
      </x:c>
      <x:c r="G92" s="4" t="str">
        <x:v>Catalog id, hero, slot, key, status:ready, cost and ownership required. Current catalog empty; art must be previewed before enabling sales.</x:v>
      </x:c>
    </x:row>
    <x:row r="93" ht="62" customHeight="1">
      <x:c r="A93" s="4" t="str">
        <x:v>Wardrobe previews</x:v>
      </x:c>
      <x:c r="B93" s="4" t="str">
        <x:v>Bront</x:v>
      </x:c>
      <x:c r="C93" s="4" t="str">
        <x:v>hat-thumbnail</x:v>
      </x:c>
      <x:c r="D93" s="4" t="str">
        <x:v>assets/cosmetics/garsi/hat/&lt;piece-id&gt;-preview.png</x:v>
      </x:c>
      <x:c r="E93" s="4" t="str">
        <x:v>One isolated square preview/thumbnail per piece; transparent, same pixel style.</x:v>
      </x:c>
      <x:c r="F93" s="4" t="str">
        <x:v>MISSING ART</x:v>
      </x:c>
      <x:c r="G93" s="4" t="str">
        <x:v>Future populated catalog UI still needs to render ready-item cards; present UI explicitly says art pending.</x:v>
      </x:c>
    </x:row>
    <x:row r="94" ht="62" customHeight="1">
      <x:c r="A94" s="4" t="str">
        <x:v>Independent wardrobe slots</x:v>
      </x:c>
      <x:c r="B94" s="4" t="str">
        <x:v>Bront</x:v>
      </x:c>
      <x:c r="C94" s="4" t="str">
        <x:v>top</x:v>
      </x:c>
      <x:c r="D94" s="4" t="str">
        <x:v>assets/cosmetics/garsi/top/&lt;piece-id&gt;.png</x:v>
      </x:c>
      <x:c r="E94" s="4" t="str">
        <x:v>Each sellable piece: transparent 14×128×160 aligned sprite layer; all animation states; colors/opaque areas must not obscure required face/hand cues.</x:v>
      </x:c>
      <x:c r="F94" s="4" t="str">
        <x:v>MISSING ART</x:v>
      </x:c>
      <x:c r="G94" s="4" t="str">
        <x:v>Catalog id, hero, slot, key, status:ready, cost and ownership required. Current catalog empty; art must be previewed before enabling sales.</x:v>
      </x:c>
    </x:row>
    <x:row r="95" ht="62" customHeight="1">
      <x:c r="A95" s="4" t="str">
        <x:v>Wardrobe previews</x:v>
      </x:c>
      <x:c r="B95" s="4" t="str">
        <x:v>Bront</x:v>
      </x:c>
      <x:c r="C95" s="4" t="str">
        <x:v>top-thumbnail</x:v>
      </x:c>
      <x:c r="D95" s="4" t="str">
        <x:v>assets/cosmetics/garsi/top/&lt;piece-id&gt;-preview.png</x:v>
      </x:c>
      <x:c r="E95" s="4" t="str">
        <x:v>One isolated square preview/thumbnail per piece; transparent, same pixel style.</x:v>
      </x:c>
      <x:c r="F95" s="4" t="str">
        <x:v>MISSING ART</x:v>
      </x:c>
      <x:c r="G95" s="4" t="str">
        <x:v>Future populated catalog UI still needs to render ready-item cards; present UI explicitly says art pending.</x:v>
      </x:c>
    </x:row>
    <x:row r="96" ht="62" customHeight="1">
      <x:c r="A96" s="4" t="str">
        <x:v>Independent wardrobe slots</x:v>
      </x:c>
      <x:c r="B96" s="4" t="str">
        <x:v>Bront</x:v>
      </x:c>
      <x:c r="C96" s="4" t="str">
        <x:v>bottom</x:v>
      </x:c>
      <x:c r="D96" s="4" t="str">
        <x:v>assets/cosmetics/garsi/bottom/&lt;piece-id&gt;.png</x:v>
      </x:c>
      <x:c r="E96" s="4" t="str">
        <x:v>Each sellable piece: transparent 14×128×160 aligned sprite layer; all animation states; colors/opaque areas must not obscure required face/hand cues.</x:v>
      </x:c>
      <x:c r="F96" s="4" t="str">
        <x:v>MISSING ART</x:v>
      </x:c>
      <x:c r="G96" s="4" t="str">
        <x:v>Catalog id, hero, slot, key, status:ready, cost and ownership required. Current catalog empty; art must be previewed before enabling sales.</x:v>
      </x:c>
    </x:row>
    <x:row r="97" ht="62" customHeight="1">
      <x:c r="A97" s="4" t="str">
        <x:v>Wardrobe previews</x:v>
      </x:c>
      <x:c r="B97" s="4" t="str">
        <x:v>Bront</x:v>
      </x:c>
      <x:c r="C97" s="4" t="str">
        <x:v>bottom-thumbnail</x:v>
      </x:c>
      <x:c r="D97" s="4" t="str">
        <x:v>assets/cosmetics/garsi/bottom/&lt;piece-id&gt;-preview.png</x:v>
      </x:c>
      <x:c r="E97" s="4" t="str">
        <x:v>One isolated square preview/thumbnail per piece; transparent, same pixel style.</x:v>
      </x:c>
      <x:c r="F97" s="4" t="str">
        <x:v>MISSING ART</x:v>
      </x:c>
      <x:c r="G97" s="4" t="str">
        <x:v>Future populated catalog UI still needs to render ready-item cards; present UI explicitly says art pending.</x:v>
      </x:c>
    </x:row>
    <x:row r="98" ht="62" customHeight="1">
      <x:c r="A98" s="4" t="str">
        <x:v>Independent wardrobe slots</x:v>
      </x:c>
      <x:c r="B98" s="4" t="str">
        <x:v>Bront</x:v>
      </x:c>
      <x:c r="C98" s="4" t="str">
        <x:v>shoes</x:v>
      </x:c>
      <x:c r="D98" s="4" t="str">
        <x:v>assets/cosmetics/garsi/shoes/&lt;piece-id&gt;.png</x:v>
      </x:c>
      <x:c r="E98" s="4" t="str">
        <x:v>Each sellable piece: transparent 14×128×160 aligned sprite layer; all animation states; colors/opaque areas must not obscure required face/hand cues.</x:v>
      </x:c>
      <x:c r="F98" s="4" t="str">
        <x:v>MISSING ART</x:v>
      </x:c>
      <x:c r="G98" s="4" t="str">
        <x:v>Catalog id, hero, slot, key, status:ready, cost and ownership required. Current catalog empty; art must be previewed before enabling sales.</x:v>
      </x:c>
    </x:row>
    <x:row r="99" ht="62" customHeight="1">
      <x:c r="A99" s="4" t="str">
        <x:v>Wardrobe previews</x:v>
      </x:c>
      <x:c r="B99" s="4" t="str">
        <x:v>Bront</x:v>
      </x:c>
      <x:c r="C99" s="4" t="str">
        <x:v>shoes-thumbnail</x:v>
      </x:c>
      <x:c r="D99" s="4" t="str">
        <x:v>assets/cosmetics/garsi/shoes/&lt;piece-id&gt;-preview.png</x:v>
      </x:c>
      <x:c r="E99" s="4" t="str">
        <x:v>One isolated square preview/thumbnail per piece; transparent, same pixel style.</x:v>
      </x:c>
      <x:c r="F99" s="4" t="str">
        <x:v>MISSING ART</x:v>
      </x:c>
      <x:c r="G99" s="4" t="str">
        <x:v>Future populated catalog UI still needs to render ready-item cards; present UI explicitly says art pending.</x:v>
      </x:c>
    </x:row>
    <x:row r="100" ht="62" customHeight="1">
      <x:c r="A100" s="4" t="str">
        <x:v>Independent wardrobe slots</x:v>
      </x:c>
      <x:c r="B100" s="4" t="str">
        <x:v>Bront</x:v>
      </x:c>
      <x:c r="C100" s="4" t="str">
        <x:v>eyewear</x:v>
      </x:c>
      <x:c r="D100" s="4" t="str">
        <x:v>assets/cosmetics/garsi/eyewear/&lt;piece-id&gt;.png</x:v>
      </x:c>
      <x:c r="E100" s="4" t="str">
        <x:v>Each sellable piece: transparent 14×128×160 aligned sprite layer; all animation states; colors/opaque areas must not obscure required face/hand cues.</x:v>
      </x:c>
      <x:c r="F100" s="4" t="str">
        <x:v>MISSING ART</x:v>
      </x:c>
      <x:c r="G100" s="4" t="str">
        <x:v>Catalog id, hero, slot, key, status:ready, cost and ownership required. Current catalog empty; art must be previewed before enabling sales.</x:v>
      </x:c>
    </x:row>
    <x:row r="101" ht="62" customHeight="1">
      <x:c r="A101" s="4" t="str">
        <x:v>Wardrobe previews</x:v>
      </x:c>
      <x:c r="B101" s="4" t="str">
        <x:v>Bront</x:v>
      </x:c>
      <x:c r="C101" s="4" t="str">
        <x:v>eyewear-thumbnail</x:v>
      </x:c>
      <x:c r="D101" s="4" t="str">
        <x:v>assets/cosmetics/garsi/eyewear/&lt;piece-id&gt;-preview.png</x:v>
      </x:c>
      <x:c r="E101" s="4" t="str">
        <x:v>One isolated square preview/thumbnail per piece; transparent, same pixel style.</x:v>
      </x:c>
      <x:c r="F101" s="4" t="str">
        <x:v>MISSING ART</x:v>
      </x:c>
      <x:c r="G101" s="4" t="str">
        <x:v>Future populated catalog UI still needs to render ready-item cards; present UI explicitly says art pending.</x:v>
      </x:c>
    </x:row>
    <x:row r="102" ht="62" customHeight="1">
      <x:c r="A102" s="4" t="str">
        <x:v>Weapon-skin slots</x:v>
      </x:c>
      <x:c r="B102" s="4" t="str">
        <x:v>Bront</x:v>
      </x:c>
      <x:c r="C102" s="4" t="str">
        <x:v>weaponSkin</x:v>
      </x:c>
      <x:c r="D102" s="4" t="str">
        <x:v>assets/cosmetics/garsi/weaponSkin/&lt;skin-id&gt;.png</x:v>
      </x:c>
      <x:c r="E102" s="4" t="str">
        <x:v>Class-matched replacement for shield; single transparent image, explicit dimensions, normalized grip anchor, angle and logical height.</x:v>
      </x:c>
      <x:c r="F102" s="4" t="str">
        <x:v>MISSING ART</x:v>
      </x:c>
      <x:c r="G102" s="4" t="str">
        <x:v>Original signature PNG exists but is not a new sellable skin. New image requires a separate body and ready catalog item; no stats change.</x:v>
      </x:c>
    </x:row>
    <x:row r="103" ht="62" customHeight="1">
      <x:c r="A103" s="4" t="str">
        <x:v>Weapon-skin previews</x:v>
      </x:c>
      <x:c r="B103" s="4" t="str">
        <x:v>Bront</x:v>
      </x:c>
      <x:c r="C103" s="4" t="str">
        <x:v>weaponSkin-thumbnail</x:v>
      </x:c>
      <x:c r="D103" s="4" t="str">
        <x:v>assets/cosmetics/garsi/weaponSkin/&lt;skin-id&gt;-preview.png</x:v>
      </x:c>
      <x:c r="E103" s="4" t="str">
        <x:v>Isolated square preview of the new skin (may reuse the full single-image weapon PNG with contain fit).</x:v>
      </x:c>
      <x:c r="F103" s="4" t="str">
        <x:v>MISSING ART</x:v>
      </x:c>
      <x:c r="G103" s="4" t="str">
        <x:v>Can share source image if sufficiently readable, not necessarily a separate unique drawing.</x:v>
      </x:c>
    </x:row>
    <x:row r="104" ht="62" customHeight="1">
      <x:c r="A104" s="4" t="str">
        <x:v>Weapon holding</x:v>
      </x:c>
      <x:c r="B104" s="4" t="str">
        <x:v>Bront</x:v>
      </x:c>
      <x:c r="C104" s="4" t="str">
        <x:v>sockets</x:v>
      </x:c>
      <x:c r="D104" s="4" t="str">
        <x:v>assets/heroes/garsi/weapon-sockets.json</x:v>
      </x:c>
      <x:c r="E104" s="4" t="str">
        <x:v>Main and offhand grip positions for all 14 frames and per-body orientation review against real signature weapon.</x:v>
      </x:c>
      <x:c r="F104" s="4" t="str">
        <x:v>MISSING ART / RIG DATA</x:v>
      </x:c>
      <x:c r="G104" s="4" t="str">
        <x:v>Do not enable separate until clean body is approved. Bront hammer and Sol lance need corrected silhouettes.</x:v>
      </x:c>
    </x:row>
    <x:row r="105" ht="62" customHeight="1">
      <x:c r="A105" s="4" t="str">
        <x:v>Unarmed / clean rig</x:v>
      </x:c>
      <x:c r="B105" s="4" t="str">
        <x:v>Zephyr</x:v>
      </x:c>
      <x:c r="C105" s="4" t="str">
        <x:v>body</x:v>
      </x:c>
      <x:c r="D105" s="4" t="str">
        <x:v>assets/heroes/tounsi/body-unarmed.png</x:v>
      </x:c>
      <x:c r="E105" s="4" t="str">
        <x:v>Weapon-free body, transparent 128×160 cells, all 14 legacy frames: idle0, run1–8, jump9, fall10, attack11–12, dodge13. Retain original identity and draw envelope.</x:v>
      </x:c>
      <x:c r="F105" s="4" t="str">
        <x:v>MISSING ART</x:v>
      </x:c>
      <x:c r="G105" s="4" t="str">
        <x:v>Do not paint over/erase held weapons without redrawing occluded hands, torso and outfit; training proxy is temporary.</x:v>
      </x:c>
    </x:row>
    <x:row r="106" ht="62" customHeight="1">
      <x:c r="A106" s="4" t="str">
        <x:v>Unarmed / lobby</x:v>
      </x:c>
      <x:c r="B106" s="4" t="str">
        <x:v>Zephyr</x:v>
      </x:c>
      <x:c r="C106" s="4" t="str">
        <x:v>idle-guard</x:v>
      </x:c>
      <x:c r="D106" s="4" t="str">
        <x:v>assets/heroes/tounsi/unarmed-guard.png</x:v>
      </x:c>
      <x:c r="E106" s="4" t="str">
        <x:v>Distinct readable bare-hand guard/idle, 128×160, same origin as body.</x:v>
      </x:c>
      <x:c r="F106" s="4" t="str">
        <x:v>MISSING ART</x:v>
      </x:c>
      <x:c r="G106" s="4" t="str">
        <x:v>A dedicated guard clip needs a manifest hook when supplied; presently the labelled generic proxy is shown.</x:v>
      </x:c>
    </x:row>
    <x:row r="107" ht="62" customHeight="1">
      <x:c r="A107" s="4" t="str">
        <x:v>Unarmed / authored phase poses</x:v>
      </x:c>
      <x:c r="B107" s="4" t="str">
        <x:v>Zephyr</x:v>
      </x:c>
      <x:c r="C107" s="4" t="str">
        <x:v>startup</x:v>
      </x:c>
      <x:c r="D107" s="4" t="str">
        <x:v>assets/heroes/tounsi/unarmed-startup.png</x:v>
      </x:c>
      <x:c r="E107" s="4" t="str">
        <x:v>128×160 transparent pose/clip aligned to original body origin; distinct fist anticipation, extension and return silhouette.</x:v>
      </x:c>
      <x:c r="F107" s="4" t="str">
        <x:v>MISSING ART</x:v>
      </x:c>
      <x:c r="G107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08" ht="62" customHeight="1">
      <x:c r="A108" s="4" t="str">
        <x:v>Unarmed / authored phase poses</x:v>
      </x:c>
      <x:c r="B108" s="4" t="str">
        <x:v>Zephyr</x:v>
      </x:c>
      <x:c r="C108" s="4" t="str">
        <x:v>active</x:v>
      </x:c>
      <x:c r="D108" s="4" t="str">
        <x:v>assets/heroes/tounsi/unarmed-active.png</x:v>
      </x:c>
      <x:c r="E108" s="4" t="str">
        <x:v>128×160 transparent pose/clip aligned to original body origin; distinct fist anticipation, extension and return silhouette.</x:v>
      </x:c>
      <x:c r="F108" s="4" t="str">
        <x:v>MISSING ART</x:v>
      </x:c>
      <x:c r="G108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09" ht="62" customHeight="1">
      <x:c r="A109" s="4" t="str">
        <x:v>Unarmed / authored phase poses</x:v>
      </x:c>
      <x:c r="B109" s="4" t="str">
        <x:v>Zephyr</x:v>
      </x:c>
      <x:c r="C109" s="4" t="str">
        <x:v>recovery</x:v>
      </x:c>
      <x:c r="D109" s="4" t="str">
        <x:v>assets/heroes/tounsi/unarmed-recovery.png</x:v>
      </x:c>
      <x:c r="E109" s="4" t="str">
        <x:v>128×160 transparent pose/clip aligned to original body origin; distinct fist anticipation, extension and return silhouette.</x:v>
      </x:c>
      <x:c r="F109" s="4" t="str">
        <x:v>MISSING ART</x:v>
      </x:c>
      <x:c r="G109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10" ht="62" customHeight="1">
      <x:c r="A110" s="4" t="str">
        <x:v>Modular body architecture</x:v>
      </x:c>
      <x:c r="B110" s="4" t="str">
        <x:v>Zephyr</x:v>
      </x:c>
      <x:c r="C110" s="4" t="str">
        <x:v>base</x:v>
      </x:c>
      <x:c r="D110" s="4" t="str">
        <x:v>assets/cosmetics/tounsi/base.png</x:v>
      </x:c>
      <x:c r="E110" s="4" t="str">
        <x:v>Clean neutral-clothed/covered body rig, no replaceable outerwear/weapon baked in; 14×128×160 aligned cells.</x:v>
      </x:c>
      <x:c r="F110" s="4" t="str">
        <x:v>MISSING ART</x:v>
      </x:c>
      <x:c r="G110" s="4" t="str">
        <x:v>Body.modularBody.base manifest key required. This is a substantial authored rig split, not six overlays pasted on complete clothes.</x:v>
      </x:c>
    </x:row>
    <x:row r="111" ht="62" customHeight="1">
      <x:c r="A111" s="4" t="str">
        <x:v>Modular body architecture</x:v>
      </x:c>
      <x:c r="B111" s="4" t="str">
        <x:v>Zephyr</x:v>
      </x:c>
      <x:c r="C111" s="4" t="str">
        <x:v>front-mask</x:v>
      </x:c>
      <x:c r="D111" s="4" t="str">
        <x:v>assets/cosmetics/tounsi/front.png</x:v>
      </x:c>
      <x:c r="E111" s="4" t="str">
        <x:v>Foreground hands/arms/hair occlusion mask, same 14 aligned frames.</x:v>
      </x:c>
      <x:c r="F111" s="4" t="str">
        <x:v>MISSING ART</x:v>
      </x:c>
      <x:c r="G111" s="4" t="str">
        <x:v>Body.modularBody.front required; optional rear sheet if clothing/hair extends behind body.</x:v>
      </x:c>
    </x:row>
    <x:row r="112" ht="62" customHeight="1">
      <x:c r="A112" s="4" t="str">
        <x:v>Modular body architecture</x:v>
      </x:c>
      <x:c r="B112" s="4" t="str">
        <x:v>Zephyr</x:v>
      </x:c>
      <x:c r="C112" s="4" t="str">
        <x:v>rear-mask</x:v>
      </x:c>
      <x:c r="D112" s="4" t="str">
        <x:v>assets/cosmetics/tounsi/rear.png</x:v>
      </x:c>
      <x:c r="E112" s="4" t="str">
        <x:v>Optional rear hair/cape/weapon-strap occlusion split, 14 aligned frames.</x:v>
      </x:c>
      <x:c r="F112" s="4" t="str">
        <x:v>CONDITIONAL ART</x:v>
      </x:c>
      <x:c r="G112" s="4" t="str">
        <x:v>Only needed for silhouettes with rear components. Body.modularBody.rear is supported.</x:v>
      </x:c>
    </x:row>
    <x:row r="113" ht="62" customHeight="1">
      <x:c r="A113" s="4" t="str">
        <x:v>Independent wardrobe slots</x:v>
      </x:c>
      <x:c r="B113" s="4" t="str">
        <x:v>Zephyr</x:v>
      </x:c>
      <x:c r="C113" s="4" t="str">
        <x:v>hat</x:v>
      </x:c>
      <x:c r="D113" s="4" t="str">
        <x:v>assets/cosmetics/tounsi/hat/&lt;piece-id&gt;.png</x:v>
      </x:c>
      <x:c r="E113" s="4" t="str">
        <x:v>Each sellable piece: transparent 14×128×160 aligned sprite layer; all animation states; colors/opaque areas must not obscure required face/hand cues.</x:v>
      </x:c>
      <x:c r="F113" s="4" t="str">
        <x:v>MISSING ART</x:v>
      </x:c>
      <x:c r="G113" s="4" t="str">
        <x:v>Catalog id, hero, slot, key, status:ready, cost and ownership required. Current catalog empty; art must be previewed before enabling sales.</x:v>
      </x:c>
    </x:row>
    <x:row r="114" ht="62" customHeight="1">
      <x:c r="A114" s="4" t="str">
        <x:v>Wardrobe previews</x:v>
      </x:c>
      <x:c r="B114" s="4" t="str">
        <x:v>Zephyr</x:v>
      </x:c>
      <x:c r="C114" s="4" t="str">
        <x:v>hat-thumbnail</x:v>
      </x:c>
      <x:c r="D114" s="4" t="str">
        <x:v>assets/cosmetics/tounsi/hat/&lt;piece-id&gt;-preview.png</x:v>
      </x:c>
      <x:c r="E114" s="4" t="str">
        <x:v>One isolated square preview/thumbnail per piece; transparent, same pixel style.</x:v>
      </x:c>
      <x:c r="F114" s="4" t="str">
        <x:v>MISSING ART</x:v>
      </x:c>
      <x:c r="G114" s="4" t="str">
        <x:v>Future populated catalog UI still needs to render ready-item cards; present UI explicitly says art pending.</x:v>
      </x:c>
    </x:row>
    <x:row r="115" ht="62" customHeight="1">
      <x:c r="A115" s="4" t="str">
        <x:v>Independent wardrobe slots</x:v>
      </x:c>
      <x:c r="B115" s="4" t="str">
        <x:v>Zephyr</x:v>
      </x:c>
      <x:c r="C115" s="4" t="str">
        <x:v>top</x:v>
      </x:c>
      <x:c r="D115" s="4" t="str">
        <x:v>assets/cosmetics/tounsi/top/&lt;piece-id&gt;.png</x:v>
      </x:c>
      <x:c r="E115" s="4" t="str">
        <x:v>Each sellable piece: transparent 14×128×160 aligned sprite layer; all animation states; colors/opaque areas must not obscure required face/hand cues.</x:v>
      </x:c>
      <x:c r="F115" s="4" t="str">
        <x:v>MISSING ART</x:v>
      </x:c>
      <x:c r="G115" s="4" t="str">
        <x:v>Catalog id, hero, slot, key, status:ready, cost and ownership required. Current catalog empty; art must be previewed before enabling sales.</x:v>
      </x:c>
    </x:row>
    <x:row r="116" ht="62" customHeight="1">
      <x:c r="A116" s="4" t="str">
        <x:v>Wardrobe previews</x:v>
      </x:c>
      <x:c r="B116" s="4" t="str">
        <x:v>Zephyr</x:v>
      </x:c>
      <x:c r="C116" s="4" t="str">
        <x:v>top-thumbnail</x:v>
      </x:c>
      <x:c r="D116" s="4" t="str">
        <x:v>assets/cosmetics/tounsi/top/&lt;piece-id&gt;-preview.png</x:v>
      </x:c>
      <x:c r="E116" s="4" t="str">
        <x:v>One isolated square preview/thumbnail per piece; transparent, same pixel style.</x:v>
      </x:c>
      <x:c r="F116" s="4" t="str">
        <x:v>MISSING ART</x:v>
      </x:c>
      <x:c r="G116" s="4" t="str">
        <x:v>Future populated catalog UI still needs to render ready-item cards; present UI explicitly says art pending.</x:v>
      </x:c>
    </x:row>
    <x:row r="117" ht="62" customHeight="1">
      <x:c r="A117" s="4" t="str">
        <x:v>Independent wardrobe slots</x:v>
      </x:c>
      <x:c r="B117" s="4" t="str">
        <x:v>Zephyr</x:v>
      </x:c>
      <x:c r="C117" s="4" t="str">
        <x:v>bottom</x:v>
      </x:c>
      <x:c r="D117" s="4" t="str">
        <x:v>assets/cosmetics/tounsi/bottom/&lt;piece-id&gt;.png</x:v>
      </x:c>
      <x:c r="E117" s="4" t="str">
        <x:v>Each sellable piece: transparent 14×128×160 aligned sprite layer; all animation states; colors/opaque areas must not obscure required face/hand cues.</x:v>
      </x:c>
      <x:c r="F117" s="4" t="str">
        <x:v>MISSING ART</x:v>
      </x:c>
      <x:c r="G117" s="4" t="str">
        <x:v>Catalog id, hero, slot, key, status:ready, cost and ownership required. Current catalog empty; art must be previewed before enabling sales.</x:v>
      </x:c>
    </x:row>
    <x:row r="118" ht="62" customHeight="1">
      <x:c r="A118" s="4" t="str">
        <x:v>Wardrobe previews</x:v>
      </x:c>
      <x:c r="B118" s="4" t="str">
        <x:v>Zephyr</x:v>
      </x:c>
      <x:c r="C118" s="4" t="str">
        <x:v>bottom-thumbnail</x:v>
      </x:c>
      <x:c r="D118" s="4" t="str">
        <x:v>assets/cosmetics/tounsi/bottom/&lt;piece-id&gt;-preview.png</x:v>
      </x:c>
      <x:c r="E118" s="4" t="str">
        <x:v>One isolated square preview/thumbnail per piece; transparent, same pixel style.</x:v>
      </x:c>
      <x:c r="F118" s="4" t="str">
        <x:v>MISSING ART</x:v>
      </x:c>
      <x:c r="G118" s="4" t="str">
        <x:v>Future populated catalog UI still needs to render ready-item cards; present UI explicitly says art pending.</x:v>
      </x:c>
    </x:row>
    <x:row r="119" ht="62" customHeight="1">
      <x:c r="A119" s="4" t="str">
        <x:v>Independent wardrobe slots</x:v>
      </x:c>
      <x:c r="B119" s="4" t="str">
        <x:v>Zephyr</x:v>
      </x:c>
      <x:c r="C119" s="4" t="str">
        <x:v>shoes</x:v>
      </x:c>
      <x:c r="D119" s="4" t="str">
        <x:v>assets/cosmetics/tounsi/shoes/&lt;piece-id&gt;.png</x:v>
      </x:c>
      <x:c r="E119" s="4" t="str">
        <x:v>Each sellable piece: transparent 14×128×160 aligned sprite layer; all animation states; colors/opaque areas must not obscure required face/hand cues.</x:v>
      </x:c>
      <x:c r="F119" s="4" t="str">
        <x:v>MISSING ART</x:v>
      </x:c>
      <x:c r="G119" s="4" t="str">
        <x:v>Catalog id, hero, slot, key, status:ready, cost and ownership required. Current catalog empty; art must be previewed before enabling sales.</x:v>
      </x:c>
    </x:row>
    <x:row r="120" ht="62" customHeight="1">
      <x:c r="A120" s="4" t="str">
        <x:v>Wardrobe previews</x:v>
      </x:c>
      <x:c r="B120" s="4" t="str">
        <x:v>Zephyr</x:v>
      </x:c>
      <x:c r="C120" s="4" t="str">
        <x:v>shoes-thumbnail</x:v>
      </x:c>
      <x:c r="D120" s="4" t="str">
        <x:v>assets/cosmetics/tounsi/shoes/&lt;piece-id&gt;-preview.png</x:v>
      </x:c>
      <x:c r="E120" s="4" t="str">
        <x:v>One isolated square preview/thumbnail per piece; transparent, same pixel style.</x:v>
      </x:c>
      <x:c r="F120" s="4" t="str">
        <x:v>MISSING ART</x:v>
      </x:c>
      <x:c r="G120" s="4" t="str">
        <x:v>Future populated catalog UI still needs to render ready-item cards; present UI explicitly says art pending.</x:v>
      </x:c>
    </x:row>
    <x:row r="121" ht="62" customHeight="1">
      <x:c r="A121" s="4" t="str">
        <x:v>Independent wardrobe slots</x:v>
      </x:c>
      <x:c r="B121" s="4" t="str">
        <x:v>Zephyr</x:v>
      </x:c>
      <x:c r="C121" s="4" t="str">
        <x:v>eyewear</x:v>
      </x:c>
      <x:c r="D121" s="4" t="str">
        <x:v>assets/cosmetics/tounsi/eyewear/&lt;piece-id&gt;.png</x:v>
      </x:c>
      <x:c r="E121" s="4" t="str">
        <x:v>Each sellable piece: transparent 14×128×160 aligned sprite layer; all animation states; colors/opaque areas must not obscure required face/hand cues.</x:v>
      </x:c>
      <x:c r="F121" s="4" t="str">
        <x:v>MISSING ART</x:v>
      </x:c>
      <x:c r="G121" s="4" t="str">
        <x:v>Catalog id, hero, slot, key, status:ready, cost and ownership required. Current catalog empty; art must be previewed before enabling sales.</x:v>
      </x:c>
    </x:row>
    <x:row r="122" ht="62" customHeight="1">
      <x:c r="A122" s="4" t="str">
        <x:v>Wardrobe previews</x:v>
      </x:c>
      <x:c r="B122" s="4" t="str">
        <x:v>Zephyr</x:v>
      </x:c>
      <x:c r="C122" s="4" t="str">
        <x:v>eyewear-thumbnail</x:v>
      </x:c>
      <x:c r="D122" s="4" t="str">
        <x:v>assets/cosmetics/tounsi/eyewear/&lt;piece-id&gt;-preview.png</x:v>
      </x:c>
      <x:c r="E122" s="4" t="str">
        <x:v>One isolated square preview/thumbnail per piece; transparent, same pixel style.</x:v>
      </x:c>
      <x:c r="F122" s="4" t="str">
        <x:v>MISSING ART</x:v>
      </x:c>
      <x:c r="G122" s="4" t="str">
        <x:v>Future populated catalog UI still needs to render ready-item cards; present UI explicitly says art pending.</x:v>
      </x:c>
    </x:row>
    <x:row r="123" ht="62" customHeight="1">
      <x:c r="A123" s="4" t="str">
        <x:v>Weapon-skin slots</x:v>
      </x:c>
      <x:c r="B123" s="4" t="str">
        <x:v>Zephyr</x:v>
      </x:c>
      <x:c r="C123" s="4" t="str">
        <x:v>weaponSkin</x:v>
      </x:c>
      <x:c r="D123" s="4" t="str">
        <x:v>assets/cosmetics/tounsi/weaponSkin/&lt;skin-id&gt;.png</x:v>
      </x:c>
      <x:c r="E123" s="4" t="str">
        <x:v>Class-matched replacement for sabre; single transparent image, explicit dimensions, normalized grip anchor, angle and logical height.</x:v>
      </x:c>
      <x:c r="F123" s="4" t="str">
        <x:v>MISSING ART</x:v>
      </x:c>
      <x:c r="G123" s="4" t="str">
        <x:v>Original signature PNG exists but is not a new sellable skin. New image requires a separate body and ready catalog item; no stats change.</x:v>
      </x:c>
    </x:row>
    <x:row r="124" ht="62" customHeight="1">
      <x:c r="A124" s="4" t="str">
        <x:v>Weapon-skin previews</x:v>
      </x:c>
      <x:c r="B124" s="4" t="str">
        <x:v>Zephyr</x:v>
      </x:c>
      <x:c r="C124" s="4" t="str">
        <x:v>weaponSkin-thumbnail</x:v>
      </x:c>
      <x:c r="D124" s="4" t="str">
        <x:v>assets/cosmetics/tounsi/weaponSkin/&lt;skin-id&gt;-preview.png</x:v>
      </x:c>
      <x:c r="E124" s="4" t="str">
        <x:v>Isolated square preview of the new skin (may reuse the full single-image weapon PNG with contain fit).</x:v>
      </x:c>
      <x:c r="F124" s="4" t="str">
        <x:v>MISSING ART</x:v>
      </x:c>
      <x:c r="G124" s="4" t="str">
        <x:v>Can share source image if sufficiently readable, not necessarily a separate unique drawing.</x:v>
      </x:c>
    </x:row>
    <x:row r="125" ht="62" customHeight="1">
      <x:c r="A125" s="4" t="str">
        <x:v>Weapon holding</x:v>
      </x:c>
      <x:c r="B125" s="4" t="str">
        <x:v>Zephyr</x:v>
      </x:c>
      <x:c r="C125" s="4" t="str">
        <x:v>sockets</x:v>
      </x:c>
      <x:c r="D125" s="4" t="str">
        <x:v>assets/heroes/tounsi/weapon-sockets.json</x:v>
      </x:c>
      <x:c r="E125" s="4" t="str">
        <x:v>Main and offhand grip positions for all 14 frames and per-body orientation review against real signature weapon.</x:v>
      </x:c>
      <x:c r="F125" s="4" t="str">
        <x:v>MISSING ART / RIG DATA</x:v>
      </x:c>
      <x:c r="G125" s="4" t="str">
        <x:v>Do not enable separate until clean body is approved. Bront hammer and Sol lance need corrected silhouettes.</x:v>
      </x:c>
    </x:row>
    <x:row r="126" ht="62" customHeight="1">
      <x:c r="A126" s="4" t="str">
        <x:v>Unarmed / clean rig</x:v>
      </x:c>
      <x:c r="B126" s="4" t="str">
        <x:v>Volt</x:v>
      </x:c>
      <x:c r="C126" s="4" t="str">
        <x:v>body</x:v>
      </x:c>
      <x:c r="D126" s="4" t="str">
        <x:v>assets/heroes/youssef/body-unarmed.png</x:v>
      </x:c>
      <x:c r="E126" s="4" t="str">
        <x:v>Weapon-free body, transparent 128×160 cells, all 14 legacy frames: idle0, run1–8, jump9, fall10, attack11–12, dodge13. Retain original identity and draw envelope.</x:v>
      </x:c>
      <x:c r="F126" s="4" t="str">
        <x:v>MISSING ART</x:v>
      </x:c>
      <x:c r="G126" s="4" t="str">
        <x:v>Do not paint over/erase held weapons without redrawing occluded hands, torso and outfit; training proxy is temporary.</x:v>
      </x:c>
    </x:row>
    <x:row r="127" ht="62" customHeight="1">
      <x:c r="A127" s="4" t="str">
        <x:v>Unarmed / lobby</x:v>
      </x:c>
      <x:c r="B127" s="4" t="str">
        <x:v>Volt</x:v>
      </x:c>
      <x:c r="C127" s="4" t="str">
        <x:v>idle-guard</x:v>
      </x:c>
      <x:c r="D127" s="4" t="str">
        <x:v>assets/heroes/youssef/unarmed-guard.png</x:v>
      </x:c>
      <x:c r="E127" s="4" t="str">
        <x:v>Distinct readable bare-hand guard/idle, 128×160, same origin as body.</x:v>
      </x:c>
      <x:c r="F127" s="4" t="str">
        <x:v>MISSING ART</x:v>
      </x:c>
      <x:c r="G127" s="4" t="str">
        <x:v>A dedicated guard clip needs a manifest hook when supplied; presently the labelled generic proxy is shown.</x:v>
      </x:c>
    </x:row>
    <x:row r="128" ht="62" customHeight="1">
      <x:c r="A128" s="4" t="str">
        <x:v>Unarmed / authored phase poses</x:v>
      </x:c>
      <x:c r="B128" s="4" t="str">
        <x:v>Volt</x:v>
      </x:c>
      <x:c r="C128" s="4" t="str">
        <x:v>startup</x:v>
      </x:c>
      <x:c r="D128" s="4" t="str">
        <x:v>assets/heroes/youssef/unarmed-startup.png</x:v>
      </x:c>
      <x:c r="E128" s="4" t="str">
        <x:v>128×160 transparent pose/clip aligned to original body origin; distinct fist anticipation, extension and return silhouette.</x:v>
      </x:c>
      <x:c r="F128" s="4" t="str">
        <x:v>MISSING ART</x:v>
      </x:c>
      <x:c r="G128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29" ht="62" customHeight="1">
      <x:c r="A129" s="4" t="str">
        <x:v>Unarmed / authored phase poses</x:v>
      </x:c>
      <x:c r="B129" s="4" t="str">
        <x:v>Volt</x:v>
      </x:c>
      <x:c r="C129" s="4" t="str">
        <x:v>active</x:v>
      </x:c>
      <x:c r="D129" s="4" t="str">
        <x:v>assets/heroes/youssef/unarmed-active.png</x:v>
      </x:c>
      <x:c r="E129" s="4" t="str">
        <x:v>128×160 transparent pose/clip aligned to original body origin; distinct fist anticipation, extension and return silhouette.</x:v>
      </x:c>
      <x:c r="F129" s="4" t="str">
        <x:v>MISSING ART</x:v>
      </x:c>
      <x:c r="G129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30" ht="62" customHeight="1">
      <x:c r="A130" s="4" t="str">
        <x:v>Unarmed / authored phase poses</x:v>
      </x:c>
      <x:c r="B130" s="4" t="str">
        <x:v>Volt</x:v>
      </x:c>
      <x:c r="C130" s="4" t="str">
        <x:v>recovery</x:v>
      </x:c>
      <x:c r="D130" s="4" t="str">
        <x:v>assets/heroes/youssef/unarmed-recovery.png</x:v>
      </x:c>
      <x:c r="E130" s="4" t="str">
        <x:v>128×160 transparent pose/clip aligned to original body origin; distinct fist anticipation, extension and return silhouette.</x:v>
      </x:c>
      <x:c r="F130" s="4" t="str">
        <x:v>MISSING ART</x:v>
      </x:c>
      <x:c r="G130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31" ht="62" customHeight="1">
      <x:c r="A131" s="4" t="str">
        <x:v>Modular body architecture</x:v>
      </x:c>
      <x:c r="B131" s="4" t="str">
        <x:v>Volt</x:v>
      </x:c>
      <x:c r="C131" s="4" t="str">
        <x:v>base</x:v>
      </x:c>
      <x:c r="D131" s="4" t="str">
        <x:v>assets/cosmetics/youssef/base.png</x:v>
      </x:c>
      <x:c r="E131" s="4" t="str">
        <x:v>Clean neutral-clothed/covered body rig, no replaceable outerwear/weapon baked in; 14×128×160 aligned cells.</x:v>
      </x:c>
      <x:c r="F131" s="4" t="str">
        <x:v>MISSING ART</x:v>
      </x:c>
      <x:c r="G131" s="4" t="str">
        <x:v>Body.modularBody.base manifest key required. This is a substantial authored rig split, not six overlays pasted on complete clothes.</x:v>
      </x:c>
    </x:row>
    <x:row r="132" ht="62" customHeight="1">
      <x:c r="A132" s="4" t="str">
        <x:v>Modular body architecture</x:v>
      </x:c>
      <x:c r="B132" s="4" t="str">
        <x:v>Volt</x:v>
      </x:c>
      <x:c r="C132" s="4" t="str">
        <x:v>front-mask</x:v>
      </x:c>
      <x:c r="D132" s="4" t="str">
        <x:v>assets/cosmetics/youssef/front.png</x:v>
      </x:c>
      <x:c r="E132" s="4" t="str">
        <x:v>Foreground hands/arms/hair occlusion mask, same 14 aligned frames.</x:v>
      </x:c>
      <x:c r="F132" s="4" t="str">
        <x:v>MISSING ART</x:v>
      </x:c>
      <x:c r="G132" s="4" t="str">
        <x:v>Body.modularBody.front required; optional rear sheet if clothing/hair extends behind body.</x:v>
      </x:c>
    </x:row>
    <x:row r="133" ht="62" customHeight="1">
      <x:c r="A133" s="4" t="str">
        <x:v>Modular body architecture</x:v>
      </x:c>
      <x:c r="B133" s="4" t="str">
        <x:v>Volt</x:v>
      </x:c>
      <x:c r="C133" s="4" t="str">
        <x:v>rear-mask</x:v>
      </x:c>
      <x:c r="D133" s="4" t="str">
        <x:v>assets/cosmetics/youssef/rear.png</x:v>
      </x:c>
      <x:c r="E133" s="4" t="str">
        <x:v>Optional rear hair/cape/weapon-strap occlusion split, 14 aligned frames.</x:v>
      </x:c>
      <x:c r="F133" s="4" t="str">
        <x:v>CONDITIONAL ART</x:v>
      </x:c>
      <x:c r="G133" s="4" t="str">
        <x:v>Only needed for silhouettes with rear components. Body.modularBody.rear is supported.</x:v>
      </x:c>
    </x:row>
    <x:row r="134" ht="62" customHeight="1">
      <x:c r="A134" s="4" t="str">
        <x:v>Independent wardrobe slots</x:v>
      </x:c>
      <x:c r="B134" s="4" t="str">
        <x:v>Volt</x:v>
      </x:c>
      <x:c r="C134" s="4" t="str">
        <x:v>hat</x:v>
      </x:c>
      <x:c r="D134" s="4" t="str">
        <x:v>assets/cosmetics/youssef/hat/&lt;piece-id&gt;.png</x:v>
      </x:c>
      <x:c r="E134" s="4" t="str">
        <x:v>Each sellable piece: transparent 14×128×160 aligned sprite layer; all animation states; colors/opaque areas must not obscure required face/hand cues.</x:v>
      </x:c>
      <x:c r="F134" s="4" t="str">
        <x:v>MISSING ART</x:v>
      </x:c>
      <x:c r="G134" s="4" t="str">
        <x:v>Catalog id, hero, slot, key, status:ready, cost and ownership required. Current catalog empty; art must be previewed before enabling sales.</x:v>
      </x:c>
    </x:row>
    <x:row r="135" ht="62" customHeight="1">
      <x:c r="A135" s="4" t="str">
        <x:v>Wardrobe previews</x:v>
      </x:c>
      <x:c r="B135" s="4" t="str">
        <x:v>Volt</x:v>
      </x:c>
      <x:c r="C135" s="4" t="str">
        <x:v>hat-thumbnail</x:v>
      </x:c>
      <x:c r="D135" s="4" t="str">
        <x:v>assets/cosmetics/youssef/hat/&lt;piece-id&gt;-preview.png</x:v>
      </x:c>
      <x:c r="E135" s="4" t="str">
        <x:v>One isolated square preview/thumbnail per piece; transparent, same pixel style.</x:v>
      </x:c>
      <x:c r="F135" s="4" t="str">
        <x:v>MISSING ART</x:v>
      </x:c>
      <x:c r="G135" s="4" t="str">
        <x:v>Future populated catalog UI still needs to render ready-item cards; present UI explicitly says art pending.</x:v>
      </x:c>
    </x:row>
    <x:row r="136" ht="62" customHeight="1">
      <x:c r="A136" s="4" t="str">
        <x:v>Independent wardrobe slots</x:v>
      </x:c>
      <x:c r="B136" s="4" t="str">
        <x:v>Volt</x:v>
      </x:c>
      <x:c r="C136" s="4" t="str">
        <x:v>top</x:v>
      </x:c>
      <x:c r="D136" s="4" t="str">
        <x:v>assets/cosmetics/youssef/top/&lt;piece-id&gt;.png</x:v>
      </x:c>
      <x:c r="E136" s="4" t="str">
        <x:v>Each sellable piece: transparent 14×128×160 aligned sprite layer; all animation states; colors/opaque areas must not obscure required face/hand cues.</x:v>
      </x:c>
      <x:c r="F136" s="4" t="str">
        <x:v>MISSING ART</x:v>
      </x:c>
      <x:c r="G136" s="4" t="str">
        <x:v>Catalog id, hero, slot, key, status:ready, cost and ownership required. Current catalog empty; art must be previewed before enabling sales.</x:v>
      </x:c>
    </x:row>
    <x:row r="137" ht="62" customHeight="1">
      <x:c r="A137" s="4" t="str">
        <x:v>Wardrobe previews</x:v>
      </x:c>
      <x:c r="B137" s="4" t="str">
        <x:v>Volt</x:v>
      </x:c>
      <x:c r="C137" s="4" t="str">
        <x:v>top-thumbnail</x:v>
      </x:c>
      <x:c r="D137" s="4" t="str">
        <x:v>assets/cosmetics/youssef/top/&lt;piece-id&gt;-preview.png</x:v>
      </x:c>
      <x:c r="E137" s="4" t="str">
        <x:v>One isolated square preview/thumbnail per piece; transparent, same pixel style.</x:v>
      </x:c>
      <x:c r="F137" s="4" t="str">
        <x:v>MISSING ART</x:v>
      </x:c>
      <x:c r="G137" s="4" t="str">
        <x:v>Future populated catalog UI still needs to render ready-item cards; present UI explicitly says art pending.</x:v>
      </x:c>
    </x:row>
    <x:row r="138" ht="62" customHeight="1">
      <x:c r="A138" s="4" t="str">
        <x:v>Independent wardrobe slots</x:v>
      </x:c>
      <x:c r="B138" s="4" t="str">
        <x:v>Volt</x:v>
      </x:c>
      <x:c r="C138" s="4" t="str">
        <x:v>bottom</x:v>
      </x:c>
      <x:c r="D138" s="4" t="str">
        <x:v>assets/cosmetics/youssef/bottom/&lt;piece-id&gt;.png</x:v>
      </x:c>
      <x:c r="E138" s="4" t="str">
        <x:v>Each sellable piece: transparent 14×128×160 aligned sprite layer; all animation states; colors/opaque areas must not obscure required face/hand cues.</x:v>
      </x:c>
      <x:c r="F138" s="4" t="str">
        <x:v>MISSING ART</x:v>
      </x:c>
      <x:c r="G138" s="4" t="str">
        <x:v>Catalog id, hero, slot, key, status:ready, cost and ownership required. Current catalog empty; art must be previewed before enabling sales.</x:v>
      </x:c>
    </x:row>
    <x:row r="139" ht="62" customHeight="1">
      <x:c r="A139" s="4" t="str">
        <x:v>Wardrobe previews</x:v>
      </x:c>
      <x:c r="B139" s="4" t="str">
        <x:v>Volt</x:v>
      </x:c>
      <x:c r="C139" s="4" t="str">
        <x:v>bottom-thumbnail</x:v>
      </x:c>
      <x:c r="D139" s="4" t="str">
        <x:v>assets/cosmetics/youssef/bottom/&lt;piece-id&gt;-preview.png</x:v>
      </x:c>
      <x:c r="E139" s="4" t="str">
        <x:v>One isolated square preview/thumbnail per piece; transparent, same pixel style.</x:v>
      </x:c>
      <x:c r="F139" s="4" t="str">
        <x:v>MISSING ART</x:v>
      </x:c>
      <x:c r="G139" s="4" t="str">
        <x:v>Future populated catalog UI still needs to render ready-item cards; present UI explicitly says art pending.</x:v>
      </x:c>
    </x:row>
    <x:row r="140" ht="62" customHeight="1">
      <x:c r="A140" s="4" t="str">
        <x:v>Independent wardrobe slots</x:v>
      </x:c>
      <x:c r="B140" s="4" t="str">
        <x:v>Volt</x:v>
      </x:c>
      <x:c r="C140" s="4" t="str">
        <x:v>shoes</x:v>
      </x:c>
      <x:c r="D140" s="4" t="str">
        <x:v>assets/cosmetics/youssef/shoes/&lt;piece-id&gt;.png</x:v>
      </x:c>
      <x:c r="E140" s="4" t="str">
        <x:v>Each sellable piece: transparent 14×128×160 aligned sprite layer; all animation states; colors/opaque areas must not obscure required face/hand cues.</x:v>
      </x:c>
      <x:c r="F140" s="4" t="str">
        <x:v>MISSING ART</x:v>
      </x:c>
      <x:c r="G140" s="4" t="str">
        <x:v>Catalog id, hero, slot, key, status:ready, cost and ownership required. Current catalog empty; art must be previewed before enabling sales.</x:v>
      </x:c>
    </x:row>
    <x:row r="141" ht="62" customHeight="1">
      <x:c r="A141" s="4" t="str">
        <x:v>Wardrobe previews</x:v>
      </x:c>
      <x:c r="B141" s="4" t="str">
        <x:v>Volt</x:v>
      </x:c>
      <x:c r="C141" s="4" t="str">
        <x:v>shoes-thumbnail</x:v>
      </x:c>
      <x:c r="D141" s="4" t="str">
        <x:v>assets/cosmetics/youssef/shoes/&lt;piece-id&gt;-preview.png</x:v>
      </x:c>
      <x:c r="E141" s="4" t="str">
        <x:v>One isolated square preview/thumbnail per piece; transparent, same pixel style.</x:v>
      </x:c>
      <x:c r="F141" s="4" t="str">
        <x:v>MISSING ART</x:v>
      </x:c>
      <x:c r="G141" s="4" t="str">
        <x:v>Future populated catalog UI still needs to render ready-item cards; present UI explicitly says art pending.</x:v>
      </x:c>
    </x:row>
    <x:row r="142" ht="62" customHeight="1">
      <x:c r="A142" s="4" t="str">
        <x:v>Independent wardrobe slots</x:v>
      </x:c>
      <x:c r="B142" s="4" t="str">
        <x:v>Volt</x:v>
      </x:c>
      <x:c r="C142" s="4" t="str">
        <x:v>eyewear</x:v>
      </x:c>
      <x:c r="D142" s="4" t="str">
        <x:v>assets/cosmetics/youssef/eyewear/&lt;piece-id&gt;.png</x:v>
      </x:c>
      <x:c r="E142" s="4" t="str">
        <x:v>Each sellable piece: transparent 14×128×160 aligned sprite layer; all animation states; colors/opaque areas must not obscure required face/hand cues.</x:v>
      </x:c>
      <x:c r="F142" s="4" t="str">
        <x:v>MISSING ART</x:v>
      </x:c>
      <x:c r="G142" s="4" t="str">
        <x:v>Catalog id, hero, slot, key, status:ready, cost and ownership required. Current catalog empty; art must be previewed before enabling sales.</x:v>
      </x:c>
    </x:row>
    <x:row r="143" ht="62" customHeight="1">
      <x:c r="A143" s="4" t="str">
        <x:v>Wardrobe previews</x:v>
      </x:c>
      <x:c r="B143" s="4" t="str">
        <x:v>Volt</x:v>
      </x:c>
      <x:c r="C143" s="4" t="str">
        <x:v>eyewear-thumbnail</x:v>
      </x:c>
      <x:c r="D143" s="4" t="str">
        <x:v>assets/cosmetics/youssef/eyewear/&lt;piece-id&gt;-preview.png</x:v>
      </x:c>
      <x:c r="E143" s="4" t="str">
        <x:v>One isolated square preview/thumbnail per piece; transparent, same pixel style.</x:v>
      </x:c>
      <x:c r="F143" s="4" t="str">
        <x:v>MISSING ART</x:v>
      </x:c>
      <x:c r="G143" s="4" t="str">
        <x:v>Future populated catalog UI still needs to render ready-item cards; present UI explicitly says art pending.</x:v>
      </x:c>
    </x:row>
    <x:row r="144" ht="62" customHeight="1">
      <x:c r="A144" s="4" t="str">
        <x:v>Weapon-skin slots</x:v>
      </x:c>
      <x:c r="B144" s="4" t="str">
        <x:v>Volt</x:v>
      </x:c>
      <x:c r="C144" s="4" t="str">
        <x:v>weaponSkin</x:v>
      </x:c>
      <x:c r="D144" s="4" t="str">
        <x:v>assets/cosmetics/youssef/weaponSkin/&lt;skin-id&gt;.png</x:v>
      </x:c>
      <x:c r="E144" s="4" t="str">
        <x:v>Class-matched replacement for gadget; single transparent image, explicit dimensions, normalized grip anchor, angle and logical height.</x:v>
      </x:c>
      <x:c r="F144" s="4" t="str">
        <x:v>MISSING ART</x:v>
      </x:c>
      <x:c r="G144" s="4" t="str">
        <x:v>Original signature PNG exists but is not a new sellable skin. New image requires a separate body and ready catalog item; no stats change.</x:v>
      </x:c>
    </x:row>
    <x:row r="145" ht="62" customHeight="1">
      <x:c r="A145" s="4" t="str">
        <x:v>Weapon-skin previews</x:v>
      </x:c>
      <x:c r="B145" s="4" t="str">
        <x:v>Volt</x:v>
      </x:c>
      <x:c r="C145" s="4" t="str">
        <x:v>weaponSkin-thumbnail</x:v>
      </x:c>
      <x:c r="D145" s="4" t="str">
        <x:v>assets/cosmetics/youssef/weaponSkin/&lt;skin-id&gt;-preview.png</x:v>
      </x:c>
      <x:c r="E145" s="4" t="str">
        <x:v>Isolated square preview of the new skin (may reuse the full single-image weapon PNG with contain fit).</x:v>
      </x:c>
      <x:c r="F145" s="4" t="str">
        <x:v>MISSING ART</x:v>
      </x:c>
      <x:c r="G145" s="4" t="str">
        <x:v>Can share source image if sufficiently readable, not necessarily a separate unique drawing.</x:v>
      </x:c>
    </x:row>
    <x:row r="146" ht="62" customHeight="1">
      <x:c r="A146" s="4" t="str">
        <x:v>Weapon holding</x:v>
      </x:c>
      <x:c r="B146" s="4" t="str">
        <x:v>Volt</x:v>
      </x:c>
      <x:c r="C146" s="4" t="str">
        <x:v>sockets</x:v>
      </x:c>
      <x:c r="D146" s="4" t="str">
        <x:v>assets/heroes/youssef/weapon-sockets.json</x:v>
      </x:c>
      <x:c r="E146" s="4" t="str">
        <x:v>Main and offhand grip positions for all 14 frames and per-body orientation review against real signature weapon.</x:v>
      </x:c>
      <x:c r="F146" s="4" t="str">
        <x:v>MISSING ART / RIG DATA</x:v>
      </x:c>
      <x:c r="G146" s="4" t="str">
        <x:v>Do not enable separate until clean body is approved. Bront hammer and Sol lance need corrected silhouettes.</x:v>
      </x:c>
    </x:row>
    <x:row r="147" ht="62" customHeight="1">
      <x:c r="A147" s="4" t="str">
        <x:v>Unarmed / clean rig</x:v>
      </x:c>
      <x:c r="B147" s="4" t="str">
        <x:v>Skye</x:v>
      </x:c>
      <x:c r="C147" s="4" t="str">
        <x:v>body</x:v>
      </x:c>
      <x:c r="D147" s="4" t="str">
        <x:v>assets/heroes/loey/body-unarmed.png</x:v>
      </x:c>
      <x:c r="E147" s="4" t="str">
        <x:v>Weapon-free body, transparent 128×160 cells, all 14 legacy frames: idle0, run1–8, jump9, fall10, attack11–12, dodge13. Retain original identity and draw envelope.</x:v>
      </x:c>
      <x:c r="F147" s="4" t="str">
        <x:v>MISSING ART</x:v>
      </x:c>
      <x:c r="G147" s="4" t="str">
        <x:v>Do not paint over/erase held weapons without redrawing occluded hands, torso and outfit; training proxy is temporary.</x:v>
      </x:c>
    </x:row>
    <x:row r="148" ht="62" customHeight="1">
      <x:c r="A148" s="4" t="str">
        <x:v>Unarmed / lobby</x:v>
      </x:c>
      <x:c r="B148" s="4" t="str">
        <x:v>Skye</x:v>
      </x:c>
      <x:c r="C148" s="4" t="str">
        <x:v>idle-guard</x:v>
      </x:c>
      <x:c r="D148" s="4" t="str">
        <x:v>assets/heroes/loey/unarmed-guard.png</x:v>
      </x:c>
      <x:c r="E148" s="4" t="str">
        <x:v>Distinct readable bare-hand guard/idle, 128×160, same origin as body.</x:v>
      </x:c>
      <x:c r="F148" s="4" t="str">
        <x:v>MISSING ART</x:v>
      </x:c>
      <x:c r="G148" s="4" t="str">
        <x:v>A dedicated guard clip needs a manifest hook when supplied; presently the labelled generic proxy is shown.</x:v>
      </x:c>
    </x:row>
    <x:row r="149" ht="62" customHeight="1">
      <x:c r="A149" s="4" t="str">
        <x:v>Unarmed / authored phase poses</x:v>
      </x:c>
      <x:c r="B149" s="4" t="str">
        <x:v>Skye</x:v>
      </x:c>
      <x:c r="C149" s="4" t="str">
        <x:v>startup</x:v>
      </x:c>
      <x:c r="D149" s="4" t="str">
        <x:v>assets/heroes/loey/unarmed-startup.png</x:v>
      </x:c>
      <x:c r="E149" s="4" t="str">
        <x:v>128×160 transparent pose/clip aligned to original body origin; distinct fist anticipation, extension and return silhouette.</x:v>
      </x:c>
      <x:c r="F149" s="4" t="str">
        <x:v>MISSING ART</x:v>
      </x:c>
      <x:c r="G149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50" ht="62" customHeight="1">
      <x:c r="A150" s="4" t="str">
        <x:v>Unarmed / authored phase poses</x:v>
      </x:c>
      <x:c r="B150" s="4" t="str">
        <x:v>Skye</x:v>
      </x:c>
      <x:c r="C150" s="4" t="str">
        <x:v>active</x:v>
      </x:c>
      <x:c r="D150" s="4" t="str">
        <x:v>assets/heroes/loey/unarmed-active.png</x:v>
      </x:c>
      <x:c r="E150" s="4" t="str">
        <x:v>128×160 transparent pose/clip aligned to original body origin; distinct fist anticipation, extension and return silhouette.</x:v>
      </x:c>
      <x:c r="F150" s="4" t="str">
        <x:v>MISSING ART</x:v>
      </x:c>
      <x:c r="G150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51" ht="62" customHeight="1">
      <x:c r="A151" s="4" t="str">
        <x:v>Unarmed / authored phase poses</x:v>
      </x:c>
      <x:c r="B151" s="4" t="str">
        <x:v>Skye</x:v>
      </x:c>
      <x:c r="C151" s="4" t="str">
        <x:v>recovery</x:v>
      </x:c>
      <x:c r="D151" s="4" t="str">
        <x:v>assets/heroes/loey/unarmed-recovery.png</x:v>
      </x:c>
      <x:c r="E151" s="4" t="str">
        <x:v>128×160 transparent pose/clip aligned to original body origin; distinct fist anticipation, extension and return silhouette.</x:v>
      </x:c>
      <x:c r="F151" s="4" t="str">
        <x:v>MISSING ART</x:v>
      </x:c>
      <x:c r="G151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52" ht="62" customHeight="1">
      <x:c r="A152" s="4" t="str">
        <x:v>Modular body architecture</x:v>
      </x:c>
      <x:c r="B152" s="4" t="str">
        <x:v>Skye</x:v>
      </x:c>
      <x:c r="C152" s="4" t="str">
        <x:v>base</x:v>
      </x:c>
      <x:c r="D152" s="4" t="str">
        <x:v>assets/cosmetics/loey/base.png</x:v>
      </x:c>
      <x:c r="E152" s="4" t="str">
        <x:v>Clean neutral-clothed/covered body rig, no replaceable outerwear/weapon baked in; 14×128×160 aligned cells.</x:v>
      </x:c>
      <x:c r="F152" s="4" t="str">
        <x:v>MISSING ART</x:v>
      </x:c>
      <x:c r="G152" s="4" t="str">
        <x:v>Body.modularBody.base manifest key required. This is a substantial authored rig split, not six overlays pasted on complete clothes.</x:v>
      </x:c>
    </x:row>
    <x:row r="153" ht="62" customHeight="1">
      <x:c r="A153" s="4" t="str">
        <x:v>Modular body architecture</x:v>
      </x:c>
      <x:c r="B153" s="4" t="str">
        <x:v>Skye</x:v>
      </x:c>
      <x:c r="C153" s="4" t="str">
        <x:v>front-mask</x:v>
      </x:c>
      <x:c r="D153" s="4" t="str">
        <x:v>assets/cosmetics/loey/front.png</x:v>
      </x:c>
      <x:c r="E153" s="4" t="str">
        <x:v>Foreground hands/arms/hair occlusion mask, same 14 aligned frames.</x:v>
      </x:c>
      <x:c r="F153" s="4" t="str">
        <x:v>MISSING ART</x:v>
      </x:c>
      <x:c r="G153" s="4" t="str">
        <x:v>Body.modularBody.front required; optional rear sheet if clothing/hair extends behind body.</x:v>
      </x:c>
    </x:row>
    <x:row r="154" ht="62" customHeight="1">
      <x:c r="A154" s="4" t="str">
        <x:v>Modular body architecture</x:v>
      </x:c>
      <x:c r="B154" s="4" t="str">
        <x:v>Skye</x:v>
      </x:c>
      <x:c r="C154" s="4" t="str">
        <x:v>rear-mask</x:v>
      </x:c>
      <x:c r="D154" s="4" t="str">
        <x:v>assets/cosmetics/loey/rear.png</x:v>
      </x:c>
      <x:c r="E154" s="4" t="str">
        <x:v>Optional rear hair/cape/weapon-strap occlusion split, 14 aligned frames.</x:v>
      </x:c>
      <x:c r="F154" s="4" t="str">
        <x:v>CONDITIONAL ART</x:v>
      </x:c>
      <x:c r="G154" s="4" t="str">
        <x:v>Only needed for silhouettes with rear components. Body.modularBody.rear is supported.</x:v>
      </x:c>
    </x:row>
    <x:row r="155" ht="62" customHeight="1">
      <x:c r="A155" s="4" t="str">
        <x:v>Independent wardrobe slots</x:v>
      </x:c>
      <x:c r="B155" s="4" t="str">
        <x:v>Skye</x:v>
      </x:c>
      <x:c r="C155" s="4" t="str">
        <x:v>hat</x:v>
      </x:c>
      <x:c r="D155" s="4" t="str">
        <x:v>assets/cosmetics/loey/hat/&lt;piece-id&gt;.png</x:v>
      </x:c>
      <x:c r="E155" s="4" t="str">
        <x:v>Each sellable piece: transparent 14×128×160 aligned sprite layer; all animation states; colors/opaque areas must not obscure required face/hand cues.</x:v>
      </x:c>
      <x:c r="F155" s="4" t="str">
        <x:v>MISSING ART</x:v>
      </x:c>
      <x:c r="G155" s="4" t="str">
        <x:v>Catalog id, hero, slot, key, status:ready, cost and ownership required. Current catalog empty; art must be previewed before enabling sales.</x:v>
      </x:c>
    </x:row>
    <x:row r="156" ht="62" customHeight="1">
      <x:c r="A156" s="4" t="str">
        <x:v>Wardrobe previews</x:v>
      </x:c>
      <x:c r="B156" s="4" t="str">
        <x:v>Skye</x:v>
      </x:c>
      <x:c r="C156" s="4" t="str">
        <x:v>hat-thumbnail</x:v>
      </x:c>
      <x:c r="D156" s="4" t="str">
        <x:v>assets/cosmetics/loey/hat/&lt;piece-id&gt;-preview.png</x:v>
      </x:c>
      <x:c r="E156" s="4" t="str">
        <x:v>One isolated square preview/thumbnail per piece; transparent, same pixel style.</x:v>
      </x:c>
      <x:c r="F156" s="4" t="str">
        <x:v>MISSING ART</x:v>
      </x:c>
      <x:c r="G156" s="4" t="str">
        <x:v>Future populated catalog UI still needs to render ready-item cards; present UI explicitly says art pending.</x:v>
      </x:c>
    </x:row>
    <x:row r="157" ht="62" customHeight="1">
      <x:c r="A157" s="4" t="str">
        <x:v>Independent wardrobe slots</x:v>
      </x:c>
      <x:c r="B157" s="4" t="str">
        <x:v>Skye</x:v>
      </x:c>
      <x:c r="C157" s="4" t="str">
        <x:v>top</x:v>
      </x:c>
      <x:c r="D157" s="4" t="str">
        <x:v>assets/cosmetics/loey/top/&lt;piece-id&gt;.png</x:v>
      </x:c>
      <x:c r="E157" s="4" t="str">
        <x:v>Each sellable piece: transparent 14×128×160 aligned sprite layer; all animation states; colors/opaque areas must not obscure required face/hand cues.</x:v>
      </x:c>
      <x:c r="F157" s="4" t="str">
        <x:v>MISSING ART</x:v>
      </x:c>
      <x:c r="G157" s="4" t="str">
        <x:v>Catalog id, hero, slot, key, status:ready, cost and ownership required. Current catalog empty; art must be previewed before enabling sales.</x:v>
      </x:c>
    </x:row>
    <x:row r="158" ht="62" customHeight="1">
      <x:c r="A158" s="4" t="str">
        <x:v>Wardrobe previews</x:v>
      </x:c>
      <x:c r="B158" s="4" t="str">
        <x:v>Skye</x:v>
      </x:c>
      <x:c r="C158" s="4" t="str">
        <x:v>top-thumbnail</x:v>
      </x:c>
      <x:c r="D158" s="4" t="str">
        <x:v>assets/cosmetics/loey/top/&lt;piece-id&gt;-preview.png</x:v>
      </x:c>
      <x:c r="E158" s="4" t="str">
        <x:v>One isolated square preview/thumbnail per piece; transparent, same pixel style.</x:v>
      </x:c>
      <x:c r="F158" s="4" t="str">
        <x:v>MISSING ART</x:v>
      </x:c>
      <x:c r="G158" s="4" t="str">
        <x:v>Future populated catalog UI still needs to render ready-item cards; present UI explicitly says art pending.</x:v>
      </x:c>
    </x:row>
    <x:row r="159" ht="62" customHeight="1">
      <x:c r="A159" s="4" t="str">
        <x:v>Independent wardrobe slots</x:v>
      </x:c>
      <x:c r="B159" s="4" t="str">
        <x:v>Skye</x:v>
      </x:c>
      <x:c r="C159" s="4" t="str">
        <x:v>bottom</x:v>
      </x:c>
      <x:c r="D159" s="4" t="str">
        <x:v>assets/cosmetics/loey/bottom/&lt;piece-id&gt;.png</x:v>
      </x:c>
      <x:c r="E159" s="4" t="str">
        <x:v>Each sellable piece: transparent 14×128×160 aligned sprite layer; all animation states; colors/opaque areas must not obscure required face/hand cues.</x:v>
      </x:c>
      <x:c r="F159" s="4" t="str">
        <x:v>MISSING ART</x:v>
      </x:c>
      <x:c r="G159" s="4" t="str">
        <x:v>Catalog id, hero, slot, key, status:ready, cost and ownership required. Current catalog empty; art must be previewed before enabling sales.</x:v>
      </x:c>
    </x:row>
    <x:row r="160" ht="62" customHeight="1">
      <x:c r="A160" s="4" t="str">
        <x:v>Wardrobe previews</x:v>
      </x:c>
      <x:c r="B160" s="4" t="str">
        <x:v>Skye</x:v>
      </x:c>
      <x:c r="C160" s="4" t="str">
        <x:v>bottom-thumbnail</x:v>
      </x:c>
      <x:c r="D160" s="4" t="str">
        <x:v>assets/cosmetics/loey/bottom/&lt;piece-id&gt;-preview.png</x:v>
      </x:c>
      <x:c r="E160" s="4" t="str">
        <x:v>One isolated square preview/thumbnail per piece; transparent, same pixel style.</x:v>
      </x:c>
      <x:c r="F160" s="4" t="str">
        <x:v>MISSING ART</x:v>
      </x:c>
      <x:c r="G160" s="4" t="str">
        <x:v>Future populated catalog UI still needs to render ready-item cards; present UI explicitly says art pending.</x:v>
      </x:c>
    </x:row>
    <x:row r="161" ht="62" customHeight="1">
      <x:c r="A161" s="4" t="str">
        <x:v>Independent wardrobe slots</x:v>
      </x:c>
      <x:c r="B161" s="4" t="str">
        <x:v>Skye</x:v>
      </x:c>
      <x:c r="C161" s="4" t="str">
        <x:v>shoes</x:v>
      </x:c>
      <x:c r="D161" s="4" t="str">
        <x:v>assets/cosmetics/loey/shoes/&lt;piece-id&gt;.png</x:v>
      </x:c>
      <x:c r="E161" s="4" t="str">
        <x:v>Each sellable piece: transparent 14×128×160 aligned sprite layer; all animation states; colors/opaque areas must not obscure required face/hand cues.</x:v>
      </x:c>
      <x:c r="F161" s="4" t="str">
        <x:v>MISSING ART</x:v>
      </x:c>
      <x:c r="G161" s="4" t="str">
        <x:v>Catalog id, hero, slot, key, status:ready, cost and ownership required. Current catalog empty; art must be previewed before enabling sales.</x:v>
      </x:c>
    </x:row>
    <x:row r="162" ht="62" customHeight="1">
      <x:c r="A162" s="4" t="str">
        <x:v>Wardrobe previews</x:v>
      </x:c>
      <x:c r="B162" s="4" t="str">
        <x:v>Skye</x:v>
      </x:c>
      <x:c r="C162" s="4" t="str">
        <x:v>shoes-thumbnail</x:v>
      </x:c>
      <x:c r="D162" s="4" t="str">
        <x:v>assets/cosmetics/loey/shoes/&lt;piece-id&gt;-preview.png</x:v>
      </x:c>
      <x:c r="E162" s="4" t="str">
        <x:v>One isolated square preview/thumbnail per piece; transparent, same pixel style.</x:v>
      </x:c>
      <x:c r="F162" s="4" t="str">
        <x:v>MISSING ART</x:v>
      </x:c>
      <x:c r="G162" s="4" t="str">
        <x:v>Future populated catalog UI still needs to render ready-item cards; present UI explicitly says art pending.</x:v>
      </x:c>
    </x:row>
    <x:row r="163" ht="62" customHeight="1">
      <x:c r="A163" s="4" t="str">
        <x:v>Independent wardrobe slots</x:v>
      </x:c>
      <x:c r="B163" s="4" t="str">
        <x:v>Skye</x:v>
      </x:c>
      <x:c r="C163" s="4" t="str">
        <x:v>eyewear</x:v>
      </x:c>
      <x:c r="D163" s="4" t="str">
        <x:v>assets/cosmetics/loey/eyewear/&lt;piece-id&gt;.png</x:v>
      </x:c>
      <x:c r="E163" s="4" t="str">
        <x:v>Each sellable piece: transparent 14×128×160 aligned sprite layer; all animation states; colors/opaque areas must not obscure required face/hand cues.</x:v>
      </x:c>
      <x:c r="F163" s="4" t="str">
        <x:v>MISSING ART</x:v>
      </x:c>
      <x:c r="G163" s="4" t="str">
        <x:v>Catalog id, hero, slot, key, status:ready, cost and ownership required. Current catalog empty; art must be previewed before enabling sales.</x:v>
      </x:c>
    </x:row>
    <x:row r="164" ht="62" customHeight="1">
      <x:c r="A164" s="4" t="str">
        <x:v>Wardrobe previews</x:v>
      </x:c>
      <x:c r="B164" s="4" t="str">
        <x:v>Skye</x:v>
      </x:c>
      <x:c r="C164" s="4" t="str">
        <x:v>eyewear-thumbnail</x:v>
      </x:c>
      <x:c r="D164" s="4" t="str">
        <x:v>assets/cosmetics/loey/eyewear/&lt;piece-id&gt;-preview.png</x:v>
      </x:c>
      <x:c r="E164" s="4" t="str">
        <x:v>One isolated square preview/thumbnail per piece; transparent, same pixel style.</x:v>
      </x:c>
      <x:c r="F164" s="4" t="str">
        <x:v>MISSING ART</x:v>
      </x:c>
      <x:c r="G164" s="4" t="str">
        <x:v>Future populated catalog UI still needs to render ready-item cards; present UI explicitly says art pending.</x:v>
      </x:c>
    </x:row>
    <x:row r="165" ht="62" customHeight="1">
      <x:c r="A165" s="4" t="str">
        <x:v>Weapon-skin slots</x:v>
      </x:c>
      <x:c r="B165" s="4" t="str">
        <x:v>Skye</x:v>
      </x:c>
      <x:c r="C165" s="4" t="str">
        <x:v>weaponSkin</x:v>
      </x:c>
      <x:c r="D165" s="4" t="str">
        <x:v>assets/cosmetics/loey/weaponSkin/&lt;skin-id&gt;.png</x:v>
      </x:c>
      <x:c r="E165" s="4" t="str">
        <x:v>Class-matched replacement for bow; single transparent image, explicit dimensions, normalized grip anchor, angle and logical height.</x:v>
      </x:c>
      <x:c r="F165" s="4" t="str">
        <x:v>MISSING ART</x:v>
      </x:c>
      <x:c r="G165" s="4" t="str">
        <x:v>Original signature PNG exists but is not a new sellable skin. New image requires a separate body and ready catalog item; no stats change.</x:v>
      </x:c>
    </x:row>
    <x:row r="166" ht="62" customHeight="1">
      <x:c r="A166" s="4" t="str">
        <x:v>Weapon-skin previews</x:v>
      </x:c>
      <x:c r="B166" s="4" t="str">
        <x:v>Skye</x:v>
      </x:c>
      <x:c r="C166" s="4" t="str">
        <x:v>weaponSkin-thumbnail</x:v>
      </x:c>
      <x:c r="D166" s="4" t="str">
        <x:v>assets/cosmetics/loey/weaponSkin/&lt;skin-id&gt;-preview.png</x:v>
      </x:c>
      <x:c r="E166" s="4" t="str">
        <x:v>Isolated square preview of the new skin (may reuse the full single-image weapon PNG with contain fit).</x:v>
      </x:c>
      <x:c r="F166" s="4" t="str">
        <x:v>MISSING ART</x:v>
      </x:c>
      <x:c r="G166" s="4" t="str">
        <x:v>Can share source image if sufficiently readable, not necessarily a separate unique drawing.</x:v>
      </x:c>
    </x:row>
    <x:row r="167" ht="62" customHeight="1">
      <x:c r="A167" s="4" t="str">
        <x:v>Weapon holding</x:v>
      </x:c>
      <x:c r="B167" s="4" t="str">
        <x:v>Skye</x:v>
      </x:c>
      <x:c r="C167" s="4" t="str">
        <x:v>sockets</x:v>
      </x:c>
      <x:c r="D167" s="4" t="str">
        <x:v>assets/heroes/loey/weapon-sockets.json</x:v>
      </x:c>
      <x:c r="E167" s="4" t="str">
        <x:v>Main and offhand grip positions for all 14 frames and per-body orientation review against real signature weapon.</x:v>
      </x:c>
      <x:c r="F167" s="4" t="str">
        <x:v>MISSING ART / RIG DATA</x:v>
      </x:c>
      <x:c r="G167" s="4" t="str">
        <x:v>Do not enable separate until clean body is approved. Bront hammer and Sol lance need corrected silhouettes.</x:v>
      </x:c>
    </x:row>
    <x:row r="168" ht="62" customHeight="1">
      <x:c r="A168" s="4" t="str">
        <x:v>Unarmed / clean rig</x:v>
      </x:c>
      <x:c r="B168" s="4" t="str">
        <x:v>Sol</x:v>
      </x:c>
      <x:c r="C168" s="4" t="str">
        <x:v>body</x:v>
      </x:c>
      <x:c r="D168" s="4" t="str">
        <x:v>assets/heroes/rayan/body-unarmed.png</x:v>
      </x:c>
      <x:c r="E168" s="4" t="str">
        <x:v>Weapon-free body, transparent 128×160 cells, all 14 legacy frames: idle0, run1–8, jump9, fall10, attack11–12, dodge13. Retain original identity and draw envelope.</x:v>
      </x:c>
      <x:c r="F168" s="4" t="str">
        <x:v>MISSING ART</x:v>
      </x:c>
      <x:c r="G168" s="4" t="str">
        <x:v>Do not paint over/erase held weapons without redrawing occluded hands, torso and outfit; training proxy is temporary.</x:v>
      </x:c>
    </x:row>
    <x:row r="169" ht="62" customHeight="1">
      <x:c r="A169" s="4" t="str">
        <x:v>Unarmed / lobby</x:v>
      </x:c>
      <x:c r="B169" s="4" t="str">
        <x:v>Sol</x:v>
      </x:c>
      <x:c r="C169" s="4" t="str">
        <x:v>idle-guard</x:v>
      </x:c>
      <x:c r="D169" s="4" t="str">
        <x:v>assets/heroes/rayan/unarmed-guard.png</x:v>
      </x:c>
      <x:c r="E169" s="4" t="str">
        <x:v>Distinct readable bare-hand guard/idle, 128×160, same origin as body.</x:v>
      </x:c>
      <x:c r="F169" s="4" t="str">
        <x:v>MISSING ART</x:v>
      </x:c>
      <x:c r="G169" s="4" t="str">
        <x:v>A dedicated guard clip needs a manifest hook when supplied; presently the labelled generic proxy is shown.</x:v>
      </x:c>
    </x:row>
    <x:row r="170" ht="62" customHeight="1">
      <x:c r="A170" s="4" t="str">
        <x:v>Unarmed / authored phase poses</x:v>
      </x:c>
      <x:c r="B170" s="4" t="str">
        <x:v>Sol</x:v>
      </x:c>
      <x:c r="C170" s="4" t="str">
        <x:v>startup</x:v>
      </x:c>
      <x:c r="D170" s="4" t="str">
        <x:v>assets/heroes/rayan/unarmed-startup.png</x:v>
      </x:c>
      <x:c r="E170" s="4" t="str">
        <x:v>128×160 transparent pose/clip aligned to original body origin; distinct fist anticipation, extension and return silhouette.</x:v>
      </x:c>
      <x:c r="F170" s="4" t="str">
        <x:v>MISSING ART</x:v>
      </x:c>
      <x:c r="G170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71" ht="62" customHeight="1">
      <x:c r="A171" s="4" t="str">
        <x:v>Unarmed / authored phase poses</x:v>
      </x:c>
      <x:c r="B171" s="4" t="str">
        <x:v>Sol</x:v>
      </x:c>
      <x:c r="C171" s="4" t="str">
        <x:v>active</x:v>
      </x:c>
      <x:c r="D171" s="4" t="str">
        <x:v>assets/heroes/rayan/unarmed-active.png</x:v>
      </x:c>
      <x:c r="E171" s="4" t="str">
        <x:v>128×160 transparent pose/clip aligned to original body origin; distinct fist anticipation, extension and return silhouette.</x:v>
      </x:c>
      <x:c r="F171" s="4" t="str">
        <x:v>MISSING ART</x:v>
      </x:c>
      <x:c r="G171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72" ht="62" customHeight="1">
      <x:c r="A172" s="4" t="str">
        <x:v>Unarmed / authored phase poses</x:v>
      </x:c>
      <x:c r="B172" s="4" t="str">
        <x:v>Sol</x:v>
      </x:c>
      <x:c r="C172" s="4" t="str">
        <x:v>recovery</x:v>
      </x:c>
      <x:c r="D172" s="4" t="str">
        <x:v>assets/heroes/rayan/unarmed-recovery.png</x:v>
      </x:c>
      <x:c r="E172" s="4" t="str">
        <x:v>128×160 transparent pose/clip aligned to original body origin; distinct fist anticipation, extension and return silhouette.</x:v>
      </x:c>
      <x:c r="F172" s="4" t="str">
        <x:v>MISSING ART</x:v>
      </x:c>
      <x:c r="G172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73" ht="62" customHeight="1">
      <x:c r="A173" s="4" t="str">
        <x:v>Modular body architecture</x:v>
      </x:c>
      <x:c r="B173" s="4" t="str">
        <x:v>Sol</x:v>
      </x:c>
      <x:c r="C173" s="4" t="str">
        <x:v>base</x:v>
      </x:c>
      <x:c r="D173" s="4" t="str">
        <x:v>assets/cosmetics/rayan/base.png</x:v>
      </x:c>
      <x:c r="E173" s="4" t="str">
        <x:v>Clean neutral-clothed/covered body rig, no replaceable outerwear/weapon baked in; 14×128×160 aligned cells.</x:v>
      </x:c>
      <x:c r="F173" s="4" t="str">
        <x:v>MISSING ART</x:v>
      </x:c>
      <x:c r="G173" s="4" t="str">
        <x:v>Body.modularBody.base manifest key required. This is a substantial authored rig split, not six overlays pasted on complete clothes.</x:v>
      </x:c>
    </x:row>
    <x:row r="174" ht="62" customHeight="1">
      <x:c r="A174" s="4" t="str">
        <x:v>Modular body architecture</x:v>
      </x:c>
      <x:c r="B174" s="4" t="str">
        <x:v>Sol</x:v>
      </x:c>
      <x:c r="C174" s="4" t="str">
        <x:v>front-mask</x:v>
      </x:c>
      <x:c r="D174" s="4" t="str">
        <x:v>assets/cosmetics/rayan/front.png</x:v>
      </x:c>
      <x:c r="E174" s="4" t="str">
        <x:v>Foreground hands/arms/hair occlusion mask, same 14 aligned frames.</x:v>
      </x:c>
      <x:c r="F174" s="4" t="str">
        <x:v>MISSING ART</x:v>
      </x:c>
      <x:c r="G174" s="4" t="str">
        <x:v>Body.modularBody.front required; optional rear sheet if clothing/hair extends behind body.</x:v>
      </x:c>
    </x:row>
    <x:row r="175" ht="62" customHeight="1">
      <x:c r="A175" s="4" t="str">
        <x:v>Modular body architecture</x:v>
      </x:c>
      <x:c r="B175" s="4" t="str">
        <x:v>Sol</x:v>
      </x:c>
      <x:c r="C175" s="4" t="str">
        <x:v>rear-mask</x:v>
      </x:c>
      <x:c r="D175" s="4" t="str">
        <x:v>assets/cosmetics/rayan/rear.png</x:v>
      </x:c>
      <x:c r="E175" s="4" t="str">
        <x:v>Optional rear hair/cape/weapon-strap occlusion split, 14 aligned frames.</x:v>
      </x:c>
      <x:c r="F175" s="4" t="str">
        <x:v>CONDITIONAL ART</x:v>
      </x:c>
      <x:c r="G175" s="4" t="str">
        <x:v>Only needed for silhouettes with rear components. Body.modularBody.rear is supported.</x:v>
      </x:c>
    </x:row>
    <x:row r="176" ht="62" customHeight="1">
      <x:c r="A176" s="4" t="str">
        <x:v>Independent wardrobe slots</x:v>
      </x:c>
      <x:c r="B176" s="4" t="str">
        <x:v>Sol</x:v>
      </x:c>
      <x:c r="C176" s="4" t="str">
        <x:v>hat</x:v>
      </x:c>
      <x:c r="D176" s="4" t="str">
        <x:v>assets/cosmetics/rayan/hat/&lt;piece-id&gt;.png</x:v>
      </x:c>
      <x:c r="E176" s="4" t="str">
        <x:v>Each sellable piece: transparent 14×128×160 aligned sprite layer; all animation states; colors/opaque areas must not obscure required face/hand cues.</x:v>
      </x:c>
      <x:c r="F176" s="4" t="str">
        <x:v>MISSING ART</x:v>
      </x:c>
      <x:c r="G176" s="4" t="str">
        <x:v>Catalog id, hero, slot, key, status:ready, cost and ownership required. Current catalog empty; art must be previewed before enabling sales.</x:v>
      </x:c>
    </x:row>
    <x:row r="177" ht="62" customHeight="1">
      <x:c r="A177" s="4" t="str">
        <x:v>Wardrobe previews</x:v>
      </x:c>
      <x:c r="B177" s="4" t="str">
        <x:v>Sol</x:v>
      </x:c>
      <x:c r="C177" s="4" t="str">
        <x:v>hat-thumbnail</x:v>
      </x:c>
      <x:c r="D177" s="4" t="str">
        <x:v>assets/cosmetics/rayan/hat/&lt;piece-id&gt;-preview.png</x:v>
      </x:c>
      <x:c r="E177" s="4" t="str">
        <x:v>One isolated square preview/thumbnail per piece; transparent, same pixel style.</x:v>
      </x:c>
      <x:c r="F177" s="4" t="str">
        <x:v>MISSING ART</x:v>
      </x:c>
      <x:c r="G177" s="4" t="str">
        <x:v>Future populated catalog UI still needs to render ready-item cards; present UI explicitly says art pending.</x:v>
      </x:c>
    </x:row>
    <x:row r="178" ht="62" customHeight="1">
      <x:c r="A178" s="4" t="str">
        <x:v>Independent wardrobe slots</x:v>
      </x:c>
      <x:c r="B178" s="4" t="str">
        <x:v>Sol</x:v>
      </x:c>
      <x:c r="C178" s="4" t="str">
        <x:v>top</x:v>
      </x:c>
      <x:c r="D178" s="4" t="str">
        <x:v>assets/cosmetics/rayan/top/&lt;piece-id&gt;.png</x:v>
      </x:c>
      <x:c r="E178" s="4" t="str">
        <x:v>Each sellable piece: transparent 14×128×160 aligned sprite layer; all animation states; colors/opaque areas must not obscure required face/hand cues.</x:v>
      </x:c>
      <x:c r="F178" s="4" t="str">
        <x:v>MISSING ART</x:v>
      </x:c>
      <x:c r="G178" s="4" t="str">
        <x:v>Catalog id, hero, slot, key, status:ready, cost and ownership required. Current catalog empty; art must be previewed before enabling sales.</x:v>
      </x:c>
    </x:row>
    <x:row r="179" ht="62" customHeight="1">
      <x:c r="A179" s="4" t="str">
        <x:v>Wardrobe previews</x:v>
      </x:c>
      <x:c r="B179" s="4" t="str">
        <x:v>Sol</x:v>
      </x:c>
      <x:c r="C179" s="4" t="str">
        <x:v>top-thumbnail</x:v>
      </x:c>
      <x:c r="D179" s="4" t="str">
        <x:v>assets/cosmetics/rayan/top/&lt;piece-id&gt;-preview.png</x:v>
      </x:c>
      <x:c r="E179" s="4" t="str">
        <x:v>One isolated square preview/thumbnail per piece; transparent, same pixel style.</x:v>
      </x:c>
      <x:c r="F179" s="4" t="str">
        <x:v>MISSING ART</x:v>
      </x:c>
      <x:c r="G179" s="4" t="str">
        <x:v>Future populated catalog UI still needs to render ready-item cards; present UI explicitly says art pending.</x:v>
      </x:c>
    </x:row>
    <x:row r="180" ht="62" customHeight="1">
      <x:c r="A180" s="4" t="str">
        <x:v>Independent wardrobe slots</x:v>
      </x:c>
      <x:c r="B180" s="4" t="str">
        <x:v>Sol</x:v>
      </x:c>
      <x:c r="C180" s="4" t="str">
        <x:v>bottom</x:v>
      </x:c>
      <x:c r="D180" s="4" t="str">
        <x:v>assets/cosmetics/rayan/bottom/&lt;piece-id&gt;.png</x:v>
      </x:c>
      <x:c r="E180" s="4" t="str">
        <x:v>Each sellable piece: transparent 14×128×160 aligned sprite layer; all animation states; colors/opaque areas must not obscure required face/hand cues.</x:v>
      </x:c>
      <x:c r="F180" s="4" t="str">
        <x:v>MISSING ART</x:v>
      </x:c>
      <x:c r="G180" s="4" t="str">
        <x:v>Catalog id, hero, slot, key, status:ready, cost and ownership required. Current catalog empty; art must be previewed before enabling sales.</x:v>
      </x:c>
    </x:row>
    <x:row r="181" ht="62" customHeight="1">
      <x:c r="A181" s="4" t="str">
        <x:v>Wardrobe previews</x:v>
      </x:c>
      <x:c r="B181" s="4" t="str">
        <x:v>Sol</x:v>
      </x:c>
      <x:c r="C181" s="4" t="str">
        <x:v>bottom-thumbnail</x:v>
      </x:c>
      <x:c r="D181" s="4" t="str">
        <x:v>assets/cosmetics/rayan/bottom/&lt;piece-id&gt;-preview.png</x:v>
      </x:c>
      <x:c r="E181" s="4" t="str">
        <x:v>One isolated square preview/thumbnail per piece; transparent, same pixel style.</x:v>
      </x:c>
      <x:c r="F181" s="4" t="str">
        <x:v>MISSING ART</x:v>
      </x:c>
      <x:c r="G181" s="4" t="str">
        <x:v>Future populated catalog UI still needs to render ready-item cards; present UI explicitly says art pending.</x:v>
      </x:c>
    </x:row>
    <x:row r="182" ht="62" customHeight="1">
      <x:c r="A182" s="4" t="str">
        <x:v>Independent wardrobe slots</x:v>
      </x:c>
      <x:c r="B182" s="4" t="str">
        <x:v>Sol</x:v>
      </x:c>
      <x:c r="C182" s="4" t="str">
        <x:v>shoes</x:v>
      </x:c>
      <x:c r="D182" s="4" t="str">
        <x:v>assets/cosmetics/rayan/shoes/&lt;piece-id&gt;.png</x:v>
      </x:c>
      <x:c r="E182" s="4" t="str">
        <x:v>Each sellable piece: transparent 14×128×160 aligned sprite layer; all animation states; colors/opaque areas must not obscure required face/hand cues.</x:v>
      </x:c>
      <x:c r="F182" s="4" t="str">
        <x:v>MISSING ART</x:v>
      </x:c>
      <x:c r="G182" s="4" t="str">
        <x:v>Catalog id, hero, slot, key, status:ready, cost and ownership required. Current catalog empty; art must be previewed before enabling sales.</x:v>
      </x:c>
    </x:row>
    <x:row r="183" ht="62" customHeight="1">
      <x:c r="A183" s="4" t="str">
        <x:v>Wardrobe previews</x:v>
      </x:c>
      <x:c r="B183" s="4" t="str">
        <x:v>Sol</x:v>
      </x:c>
      <x:c r="C183" s="4" t="str">
        <x:v>shoes-thumbnail</x:v>
      </x:c>
      <x:c r="D183" s="4" t="str">
        <x:v>assets/cosmetics/rayan/shoes/&lt;piece-id&gt;-preview.png</x:v>
      </x:c>
      <x:c r="E183" s="4" t="str">
        <x:v>One isolated square preview/thumbnail per piece; transparent, same pixel style.</x:v>
      </x:c>
      <x:c r="F183" s="4" t="str">
        <x:v>MISSING ART</x:v>
      </x:c>
      <x:c r="G183" s="4" t="str">
        <x:v>Future populated catalog UI still needs to render ready-item cards; present UI explicitly says art pending.</x:v>
      </x:c>
    </x:row>
    <x:row r="184" ht="62" customHeight="1">
      <x:c r="A184" s="4" t="str">
        <x:v>Independent wardrobe slots</x:v>
      </x:c>
      <x:c r="B184" s="4" t="str">
        <x:v>Sol</x:v>
      </x:c>
      <x:c r="C184" s="4" t="str">
        <x:v>eyewear</x:v>
      </x:c>
      <x:c r="D184" s="4" t="str">
        <x:v>assets/cosmetics/rayan/eyewear/&lt;piece-id&gt;.png</x:v>
      </x:c>
      <x:c r="E184" s="4" t="str">
        <x:v>Each sellable piece: transparent 14×128×160 aligned sprite layer; all animation states; colors/opaque areas must not obscure required face/hand cues.</x:v>
      </x:c>
      <x:c r="F184" s="4" t="str">
        <x:v>MISSING ART</x:v>
      </x:c>
      <x:c r="G184" s="4" t="str">
        <x:v>Catalog id, hero, slot, key, status:ready, cost and ownership required. Current catalog empty; art must be previewed before enabling sales.</x:v>
      </x:c>
    </x:row>
    <x:row r="185" ht="62" customHeight="1">
      <x:c r="A185" s="4" t="str">
        <x:v>Wardrobe previews</x:v>
      </x:c>
      <x:c r="B185" s="4" t="str">
        <x:v>Sol</x:v>
      </x:c>
      <x:c r="C185" s="4" t="str">
        <x:v>eyewear-thumbnail</x:v>
      </x:c>
      <x:c r="D185" s="4" t="str">
        <x:v>assets/cosmetics/rayan/eyewear/&lt;piece-id&gt;-preview.png</x:v>
      </x:c>
      <x:c r="E185" s="4" t="str">
        <x:v>One isolated square preview/thumbnail per piece; transparent, same pixel style.</x:v>
      </x:c>
      <x:c r="F185" s="4" t="str">
        <x:v>MISSING ART</x:v>
      </x:c>
      <x:c r="G185" s="4" t="str">
        <x:v>Future populated catalog UI still needs to render ready-item cards; present UI explicitly says art pending.</x:v>
      </x:c>
    </x:row>
    <x:row r="186" ht="62" customHeight="1">
      <x:c r="A186" s="4" t="str">
        <x:v>Weapon-skin slots</x:v>
      </x:c>
      <x:c r="B186" s="4" t="str">
        <x:v>Sol</x:v>
      </x:c>
      <x:c r="C186" s="4" t="str">
        <x:v>weaponSkin</x:v>
      </x:c>
      <x:c r="D186" s="4" t="str">
        <x:v>assets/cosmetics/rayan/weaponSkin/&lt;skin-id&gt;.png</x:v>
      </x:c>
      <x:c r="E186" s="4" t="str">
        <x:v>Class-matched replacement for lance; single transparent image, explicit dimensions, normalized grip anchor, angle and logical height.</x:v>
      </x:c>
      <x:c r="F186" s="4" t="str">
        <x:v>MISSING ART</x:v>
      </x:c>
      <x:c r="G186" s="4" t="str">
        <x:v>Original signature PNG exists but is not a new sellable skin. New image requires a separate body and ready catalog item; no stats change.</x:v>
      </x:c>
    </x:row>
    <x:row r="187" ht="62" customHeight="1">
      <x:c r="A187" s="4" t="str">
        <x:v>Weapon-skin previews</x:v>
      </x:c>
      <x:c r="B187" s="4" t="str">
        <x:v>Sol</x:v>
      </x:c>
      <x:c r="C187" s="4" t="str">
        <x:v>weaponSkin-thumbnail</x:v>
      </x:c>
      <x:c r="D187" s="4" t="str">
        <x:v>assets/cosmetics/rayan/weaponSkin/&lt;skin-id&gt;-preview.png</x:v>
      </x:c>
      <x:c r="E187" s="4" t="str">
        <x:v>Isolated square preview of the new skin (may reuse the full single-image weapon PNG with contain fit).</x:v>
      </x:c>
      <x:c r="F187" s="4" t="str">
        <x:v>MISSING ART</x:v>
      </x:c>
      <x:c r="G187" s="4" t="str">
        <x:v>Can share source image if sufficiently readable, not necessarily a separate unique drawing.</x:v>
      </x:c>
    </x:row>
    <x:row r="188" ht="62" customHeight="1">
      <x:c r="A188" s="4" t="str">
        <x:v>Weapon holding</x:v>
      </x:c>
      <x:c r="B188" s="4" t="str">
        <x:v>Sol</x:v>
      </x:c>
      <x:c r="C188" s="4" t="str">
        <x:v>sockets</x:v>
      </x:c>
      <x:c r="D188" s="4" t="str">
        <x:v>assets/heroes/rayan/weapon-sockets.json</x:v>
      </x:c>
      <x:c r="E188" s="4" t="str">
        <x:v>Main and offhand grip positions for all 14 frames and per-body orientation review against real signature weapon.</x:v>
      </x:c>
      <x:c r="F188" s="4" t="str">
        <x:v>MISSING ART / RIG DATA</x:v>
      </x:c>
      <x:c r="G188" s="4" t="str">
        <x:v>Do not enable separate until clean body is approved. Bront hammer and Sol lance need corrected silhouettes.</x:v>
      </x:c>
    </x:row>
    <x:row r="189" ht="62" customHeight="1">
      <x:c r="A189" s="4" t="str">
        <x:v>Unarmed / clean rig</x:v>
      </x:c>
      <x:c r="B189" s="4" t="str">
        <x:v>Rime</x:v>
      </x:c>
      <x:c r="C189" s="4" t="str">
        <x:v>body</x:v>
      </x:c>
      <x:c r="D189" s="4" t="str">
        <x:v>assets/heroes/mira/body-unarmed.png</x:v>
      </x:c>
      <x:c r="E189" s="4" t="str">
        <x:v>Weapon-free body, transparent 128×160 cells, all 14 legacy frames: idle0, run1–8, jump9, fall10, attack11–12, dodge13. Retain original identity and draw envelope.</x:v>
      </x:c>
      <x:c r="F189" s="4" t="str">
        <x:v>MISSING ART</x:v>
      </x:c>
      <x:c r="G189" s="4" t="str">
        <x:v>Do not paint over/erase held weapons without redrawing occluded hands, torso and outfit; training proxy is temporary.</x:v>
      </x:c>
    </x:row>
    <x:row r="190" ht="62" customHeight="1">
      <x:c r="A190" s="4" t="str">
        <x:v>Unarmed / lobby</x:v>
      </x:c>
      <x:c r="B190" s="4" t="str">
        <x:v>Rime</x:v>
      </x:c>
      <x:c r="C190" s="4" t="str">
        <x:v>idle-guard</x:v>
      </x:c>
      <x:c r="D190" s="4" t="str">
        <x:v>assets/heroes/mira/unarmed-guard.png</x:v>
      </x:c>
      <x:c r="E190" s="4" t="str">
        <x:v>Distinct readable bare-hand guard/idle, 128×160, same origin as body.</x:v>
      </x:c>
      <x:c r="F190" s="4" t="str">
        <x:v>MISSING ART</x:v>
      </x:c>
      <x:c r="G190" s="4" t="str">
        <x:v>A dedicated guard clip needs a manifest hook when supplied; presently the labelled generic proxy is shown.</x:v>
      </x:c>
    </x:row>
    <x:row r="191" ht="62" customHeight="1">
      <x:c r="A191" s="4" t="str">
        <x:v>Unarmed / authored phase poses</x:v>
      </x:c>
      <x:c r="B191" s="4" t="str">
        <x:v>Rime</x:v>
      </x:c>
      <x:c r="C191" s="4" t="str">
        <x:v>startup</x:v>
      </x:c>
      <x:c r="D191" s="4" t="str">
        <x:v>assets/heroes/mira/unarmed-startup.png</x:v>
      </x:c>
      <x:c r="E191" s="4" t="str">
        <x:v>128×160 transparent pose/clip aligned to original body origin; distinct fist anticipation, extension and return silhouette.</x:v>
      </x:c>
      <x:c r="F191" s="4" t="str">
        <x:v>MISSING ART</x:v>
      </x:c>
      <x:c r="G191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92" ht="62" customHeight="1">
      <x:c r="A192" s="4" t="str">
        <x:v>Unarmed / authored phase poses</x:v>
      </x:c>
      <x:c r="B192" s="4" t="str">
        <x:v>Rime</x:v>
      </x:c>
      <x:c r="C192" s="4" t="str">
        <x:v>active</x:v>
      </x:c>
      <x:c r="D192" s="4" t="str">
        <x:v>assets/heroes/mira/unarmed-active.png</x:v>
      </x:c>
      <x:c r="E192" s="4" t="str">
        <x:v>128×160 transparent pose/clip aligned to original body origin; distinct fist anticipation, extension and return silhouette.</x:v>
      </x:c>
      <x:c r="F192" s="4" t="str">
        <x:v>MISSING ART</x:v>
      </x:c>
      <x:c r="G192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93" ht="62" customHeight="1">
      <x:c r="A193" s="4" t="str">
        <x:v>Unarmed / authored phase poses</x:v>
      </x:c>
      <x:c r="B193" s="4" t="str">
        <x:v>Rime</x:v>
      </x:c>
      <x:c r="C193" s="4" t="str">
        <x:v>recovery</x:v>
      </x:c>
      <x:c r="D193" s="4" t="str">
        <x:v>assets/heroes/mira/unarmed-recovery.png</x:v>
      </x:c>
      <x:c r="E193" s="4" t="str">
        <x:v>128×160 transparent pose/clip aligned to original body origin; distinct fist anticipation, extension and return silhouette.</x:v>
      </x:c>
      <x:c r="F193" s="4" t="str">
        <x:v>MISSING ART</x:v>
      </x:c>
      <x:c r="G193" s="4" t="str">
        <x:v>Current renderer uses legacy attack11–12 (Wissem) or phase-responsive combat proxy (others; identity portraits now retain actual body art). Separate clips require a phase→frame/asset adapter; no claim they are already wired.</x:v>
      </x:c>
    </x:row>
    <x:row r="194" ht="62" customHeight="1">
      <x:c r="A194" s="4" t="str">
        <x:v>Modular body architecture</x:v>
      </x:c>
      <x:c r="B194" s="4" t="str">
        <x:v>Rime</x:v>
      </x:c>
      <x:c r="C194" s="4" t="str">
        <x:v>base</x:v>
      </x:c>
      <x:c r="D194" s="4" t="str">
        <x:v>assets/cosmetics/mira/base.png</x:v>
      </x:c>
      <x:c r="E194" s="4" t="str">
        <x:v>Clean neutral-clothed/covered body rig, no replaceable outerwear/weapon baked in; 14×128×160 aligned cells.</x:v>
      </x:c>
      <x:c r="F194" s="4" t="str">
        <x:v>MISSING ART</x:v>
      </x:c>
      <x:c r="G194" s="4" t="str">
        <x:v>Body.modularBody.base manifest key required. This is a substantial authored rig split, not six overlays pasted on complete clothes.</x:v>
      </x:c>
    </x:row>
    <x:row r="195" ht="62" customHeight="1">
      <x:c r="A195" s="4" t="str">
        <x:v>Modular body architecture</x:v>
      </x:c>
      <x:c r="B195" s="4" t="str">
        <x:v>Rime</x:v>
      </x:c>
      <x:c r="C195" s="4" t="str">
        <x:v>front-mask</x:v>
      </x:c>
      <x:c r="D195" s="4" t="str">
        <x:v>assets/cosmetics/mira/front.png</x:v>
      </x:c>
      <x:c r="E195" s="4" t="str">
        <x:v>Foreground hands/arms/hair occlusion mask, same 14 aligned frames.</x:v>
      </x:c>
      <x:c r="F195" s="4" t="str">
        <x:v>MISSING ART</x:v>
      </x:c>
      <x:c r="G195" s="4" t="str">
        <x:v>Body.modularBody.front required; optional rear sheet if clothing/hair extends behind body.</x:v>
      </x:c>
    </x:row>
    <x:row r="196" ht="62" customHeight="1">
      <x:c r="A196" s="4" t="str">
        <x:v>Modular body architecture</x:v>
      </x:c>
      <x:c r="B196" s="4" t="str">
        <x:v>Rime</x:v>
      </x:c>
      <x:c r="C196" s="4" t="str">
        <x:v>rear-mask</x:v>
      </x:c>
      <x:c r="D196" s="4" t="str">
        <x:v>assets/cosmetics/mira/rear.png</x:v>
      </x:c>
      <x:c r="E196" s="4" t="str">
        <x:v>Optional rear hair/cape/weapon-strap occlusion split, 14 aligned frames.</x:v>
      </x:c>
      <x:c r="F196" s="4" t="str">
        <x:v>CONDITIONAL ART</x:v>
      </x:c>
      <x:c r="G196" s="4" t="str">
        <x:v>Only needed for silhouettes with rear components. Body.modularBody.rear is supported.</x:v>
      </x:c>
    </x:row>
    <x:row r="197" ht="62" customHeight="1">
      <x:c r="A197" s="4" t="str">
        <x:v>Independent wardrobe slots</x:v>
      </x:c>
      <x:c r="B197" s="4" t="str">
        <x:v>Rime</x:v>
      </x:c>
      <x:c r="C197" s="4" t="str">
        <x:v>hat</x:v>
      </x:c>
      <x:c r="D197" s="4" t="str">
        <x:v>assets/cosmetics/mira/hat/&lt;piece-id&gt;.png</x:v>
      </x:c>
      <x:c r="E197" s="4" t="str">
        <x:v>Each sellable piece: transparent 14×128×160 aligned sprite layer; all animation states; colors/opaque areas must not obscure required face/hand cues.</x:v>
      </x:c>
      <x:c r="F197" s="4" t="str">
        <x:v>MISSING ART</x:v>
      </x:c>
      <x:c r="G197" s="4" t="str">
        <x:v>Catalog id, hero, slot, key, status:ready, cost and ownership required. Current catalog empty; art must be previewed before enabling sales.</x:v>
      </x:c>
    </x:row>
    <x:row r="198" ht="62" customHeight="1">
      <x:c r="A198" s="4" t="str">
        <x:v>Wardrobe previews</x:v>
      </x:c>
      <x:c r="B198" s="4" t="str">
        <x:v>Rime</x:v>
      </x:c>
      <x:c r="C198" s="4" t="str">
        <x:v>hat-thumbnail</x:v>
      </x:c>
      <x:c r="D198" s="4" t="str">
        <x:v>assets/cosmetics/mira/hat/&lt;piece-id&gt;-preview.png</x:v>
      </x:c>
      <x:c r="E198" s="4" t="str">
        <x:v>One isolated square preview/thumbnail per piece; transparent, same pixel style.</x:v>
      </x:c>
      <x:c r="F198" s="4" t="str">
        <x:v>MISSING ART</x:v>
      </x:c>
      <x:c r="G198" s="4" t="str">
        <x:v>Future populated catalog UI still needs to render ready-item cards; present UI explicitly says art pending.</x:v>
      </x:c>
    </x:row>
    <x:row r="199" ht="62" customHeight="1">
      <x:c r="A199" s="4" t="str">
        <x:v>Independent wardrobe slots</x:v>
      </x:c>
      <x:c r="B199" s="4" t="str">
        <x:v>Rime</x:v>
      </x:c>
      <x:c r="C199" s="4" t="str">
        <x:v>top</x:v>
      </x:c>
      <x:c r="D199" s="4" t="str">
        <x:v>assets/cosmetics/mira/top/&lt;piece-id&gt;.png</x:v>
      </x:c>
      <x:c r="E199" s="4" t="str">
        <x:v>Each sellable piece: transparent 14×128×160 aligned sprite layer; all animation states; colors/opaque areas must not obscure required face/hand cues.</x:v>
      </x:c>
      <x:c r="F199" s="4" t="str">
        <x:v>MISSING ART</x:v>
      </x:c>
      <x:c r="G199" s="4" t="str">
        <x:v>Catalog id, hero, slot, key, status:ready, cost and ownership required. Current catalog empty; art must be previewed before enabling sales.</x:v>
      </x:c>
    </x:row>
    <x:row r="200" ht="62" customHeight="1">
      <x:c r="A200" s="4" t="str">
        <x:v>Wardrobe previews</x:v>
      </x:c>
      <x:c r="B200" s="4" t="str">
        <x:v>Rime</x:v>
      </x:c>
      <x:c r="C200" s="4" t="str">
        <x:v>top-thumbnail</x:v>
      </x:c>
      <x:c r="D200" s="4" t="str">
        <x:v>assets/cosmetics/mira/top/&lt;piece-id&gt;-preview.png</x:v>
      </x:c>
      <x:c r="E200" s="4" t="str">
        <x:v>One isolated square preview/thumbnail per piece; transparent, same pixel style.</x:v>
      </x:c>
      <x:c r="F200" s="4" t="str">
        <x:v>MISSING ART</x:v>
      </x:c>
      <x:c r="G200" s="4" t="str">
        <x:v>Future populated catalog UI still needs to render ready-item cards; present UI explicitly says art pending.</x:v>
      </x:c>
    </x:row>
    <x:row r="201" ht="62" customHeight="1">
      <x:c r="A201" s="4" t="str">
        <x:v>Independent wardrobe slots</x:v>
      </x:c>
      <x:c r="B201" s="4" t="str">
        <x:v>Rime</x:v>
      </x:c>
      <x:c r="C201" s="4" t="str">
        <x:v>bottom</x:v>
      </x:c>
      <x:c r="D201" s="4" t="str">
        <x:v>assets/cosmetics/mira/bottom/&lt;piece-id&gt;.png</x:v>
      </x:c>
      <x:c r="E201" s="4" t="str">
        <x:v>Each sellable piece: transparent 14×128×160 aligned sprite layer; all animation states; colors/opaque areas must not obscure required face/hand cues.</x:v>
      </x:c>
      <x:c r="F201" s="4" t="str">
        <x:v>MISSING ART</x:v>
      </x:c>
      <x:c r="G201" s="4" t="str">
        <x:v>Catalog id, hero, slot, key, status:ready, cost and ownership required. Current catalog empty; art must be previewed before enabling sales.</x:v>
      </x:c>
    </x:row>
    <x:row r="202" ht="62" customHeight="1">
      <x:c r="A202" s="4" t="str">
        <x:v>Wardrobe previews</x:v>
      </x:c>
      <x:c r="B202" s="4" t="str">
        <x:v>Rime</x:v>
      </x:c>
      <x:c r="C202" s="4" t="str">
        <x:v>bottom-thumbnail</x:v>
      </x:c>
      <x:c r="D202" s="4" t="str">
        <x:v>assets/cosmetics/mira/bottom/&lt;piece-id&gt;-preview.png</x:v>
      </x:c>
      <x:c r="E202" s="4" t="str">
        <x:v>One isolated square preview/thumbnail per piece; transparent, same pixel style.</x:v>
      </x:c>
      <x:c r="F202" s="4" t="str">
        <x:v>MISSING ART</x:v>
      </x:c>
      <x:c r="G202" s="4" t="str">
        <x:v>Future populated catalog UI still needs to render ready-item cards; present UI explicitly says art pending.</x:v>
      </x:c>
    </x:row>
    <x:row r="203" ht="62" customHeight="1">
      <x:c r="A203" s="4" t="str">
        <x:v>Independent wardrobe slots</x:v>
      </x:c>
      <x:c r="B203" s="4" t="str">
        <x:v>Rime</x:v>
      </x:c>
      <x:c r="C203" s="4" t="str">
        <x:v>shoes</x:v>
      </x:c>
      <x:c r="D203" s="4" t="str">
        <x:v>assets/cosmetics/mira/shoes/&lt;piece-id&gt;.png</x:v>
      </x:c>
      <x:c r="E203" s="4" t="str">
        <x:v>Each sellable piece: transparent 14×128×160 aligned sprite layer; all animation states; colors/opaque areas must not obscure required face/hand cues.</x:v>
      </x:c>
      <x:c r="F203" s="4" t="str">
        <x:v>MISSING ART</x:v>
      </x:c>
      <x:c r="G203" s="4" t="str">
        <x:v>Catalog id, hero, slot, key, status:ready, cost and ownership required. Current catalog empty; art must be previewed before enabling sales.</x:v>
      </x:c>
    </x:row>
    <x:row r="204" ht="62" customHeight="1">
      <x:c r="A204" s="4" t="str">
        <x:v>Wardrobe previews</x:v>
      </x:c>
      <x:c r="B204" s="4" t="str">
        <x:v>Rime</x:v>
      </x:c>
      <x:c r="C204" s="4" t="str">
        <x:v>shoes-thumbnail</x:v>
      </x:c>
      <x:c r="D204" s="4" t="str">
        <x:v>assets/cosmetics/mira/shoes/&lt;piece-id&gt;-preview.png</x:v>
      </x:c>
      <x:c r="E204" s="4" t="str">
        <x:v>One isolated square preview/thumbnail per piece; transparent, same pixel style.</x:v>
      </x:c>
      <x:c r="F204" s="4" t="str">
        <x:v>MISSING ART</x:v>
      </x:c>
      <x:c r="G204" s="4" t="str">
        <x:v>Future populated catalog UI still needs to render ready-item cards; present UI explicitly says art pending.</x:v>
      </x:c>
    </x:row>
    <x:row r="205" ht="62" customHeight="1">
      <x:c r="A205" s="4" t="str">
        <x:v>Independent wardrobe slots</x:v>
      </x:c>
      <x:c r="B205" s="4" t="str">
        <x:v>Rime</x:v>
      </x:c>
      <x:c r="C205" s="4" t="str">
        <x:v>eyewear</x:v>
      </x:c>
      <x:c r="D205" s="4" t="str">
        <x:v>assets/cosmetics/mira/eyewear/&lt;piece-id&gt;.png</x:v>
      </x:c>
      <x:c r="E205" s="4" t="str">
        <x:v>Each sellable piece: transparent 14×128×160 aligned sprite layer; all animation states; colors/opaque areas must not obscure required face/hand cues.</x:v>
      </x:c>
      <x:c r="F205" s="4" t="str">
        <x:v>MISSING ART</x:v>
      </x:c>
      <x:c r="G205" s="4" t="str">
        <x:v>Catalog id, hero, slot, key, status:ready, cost and ownership required. Current catalog empty; art must be previewed before enabling sales.</x:v>
      </x:c>
    </x:row>
    <x:row r="206" ht="62" customHeight="1">
      <x:c r="A206" s="4" t="str">
        <x:v>Wardrobe previews</x:v>
      </x:c>
      <x:c r="B206" s="4" t="str">
        <x:v>Rime</x:v>
      </x:c>
      <x:c r="C206" s="4" t="str">
        <x:v>eyewear-thumbnail</x:v>
      </x:c>
      <x:c r="D206" s="4" t="str">
        <x:v>assets/cosmetics/mira/eyewear/&lt;piece-id&gt;-preview.png</x:v>
      </x:c>
      <x:c r="E206" s="4" t="str">
        <x:v>One isolated square preview/thumbnail per piece; transparent, same pixel style.</x:v>
      </x:c>
      <x:c r="F206" s="4" t="str">
        <x:v>MISSING ART</x:v>
      </x:c>
      <x:c r="G206" s="4" t="str">
        <x:v>Future populated catalog UI still needs to render ready-item cards; present UI explicitly says art pending.</x:v>
      </x:c>
    </x:row>
    <x:row r="207" ht="62" customHeight="1">
      <x:c r="A207" s="4" t="str">
        <x:v>Weapon-skin slots</x:v>
      </x:c>
      <x:c r="B207" s="4" t="str">
        <x:v>Rime</x:v>
      </x:c>
      <x:c r="C207" s="4" t="str">
        <x:v>weaponSkin</x:v>
      </x:c>
      <x:c r="D207" s="4" t="str">
        <x:v>assets/cosmetics/mira/weaponSkin/&lt;skin-id&gt;.png</x:v>
      </x:c>
      <x:c r="E207" s="4" t="str">
        <x:v>Class-matched replacement for frost_staff; single transparent image, explicit dimensions, normalized grip anchor, angle and logical height.</x:v>
      </x:c>
      <x:c r="F207" s="4" t="str">
        <x:v>MISSING ART</x:v>
      </x:c>
      <x:c r="G207" s="4" t="str">
        <x:v>Original signature PNG exists but is not a new sellable skin. New image requires a separate body and ready catalog item; no stats change.</x:v>
      </x:c>
    </x:row>
    <x:row r="208" ht="62" customHeight="1">
      <x:c r="A208" s="4" t="str">
        <x:v>Weapon-skin previews</x:v>
      </x:c>
      <x:c r="B208" s="4" t="str">
        <x:v>Rime</x:v>
      </x:c>
      <x:c r="C208" s="4" t="str">
        <x:v>weaponSkin-thumbnail</x:v>
      </x:c>
      <x:c r="D208" s="4" t="str">
        <x:v>assets/cosmetics/mira/weaponSkin/&lt;skin-id&gt;-preview.png</x:v>
      </x:c>
      <x:c r="E208" s="4" t="str">
        <x:v>Isolated square preview of the new skin (may reuse the full single-image weapon PNG with contain fit).</x:v>
      </x:c>
      <x:c r="F208" s="4" t="str">
        <x:v>MISSING ART</x:v>
      </x:c>
      <x:c r="G208" s="4" t="str">
        <x:v>Can share source image if sufficiently readable, not necessarily a separate unique drawing.</x:v>
      </x:c>
    </x:row>
    <x:row r="209" ht="62" customHeight="1">
      <x:c r="A209" s="4" t="str">
        <x:v>Weapon holding</x:v>
      </x:c>
      <x:c r="B209" s="4" t="str">
        <x:v>Rime</x:v>
      </x:c>
      <x:c r="C209" s="4" t="str">
        <x:v>sockets</x:v>
      </x:c>
      <x:c r="D209" s="4" t="str">
        <x:v>assets/heroes/mira/weapon-sockets.json</x:v>
      </x:c>
      <x:c r="E209" s="4" t="str">
        <x:v>Main and offhand grip positions for all 14 frames and per-body orientation review against real signature weapon.</x:v>
      </x:c>
      <x:c r="F209" s="4" t="str">
        <x:v>MISSING ART / RIG DATA</x:v>
      </x:c>
      <x:c r="G209" s="4" t="str">
        <x:v>Do not enable separate until clean body is approved. Bront hammer and Sol lance need corrected silhouettes.</x:v>
      </x:c>
    </x:row>
    <x:row r="210" ht="62" customHeight="1">
      <x:c r="A210" s="4" t="str">
        <x:v>Mockup fidelity</x:v>
      </x:c>
      <x:c r="B210" s="4" t="str">
        <x:v>All</x:v>
      </x:c>
      <x:c r="C210" s="4" t="str">
        <x:v>environment</x:v>
      </x:c>
      <x:c r="D210" s="4" t="str">
        <x:v>assets/ui/scenes/menu-background.png</x:v>
      </x:c>
      <x:c r="E210" s="4" t="str">
        <x:v>Clean layered midnight fantasy backdrop without text, characters, mode cards or UI; match mockups.</x:v>
      </x:c>
      <x:c r="F210" s="4" t="str">
        <x:v>MISSING ART</x:v>
      </x:c>
      <x:c r="G210" s="4" t="str">
        <x:v>Not redrawn from a full composite mockup; existing world/cosmic art used as interim.</x:v>
      </x:c>
    </x:row>
    <x:row r="211" ht="62" customHeight="1">
      <x:c r="A211" s="4" t="str">
        <x:v>Mockup fidelity</x:v>
      </x:c>
      <x:c r="B211" s="4" t="str">
        <x:v>All</x:v>
      </x:c>
      <x:c r="C211" s="4" t="str">
        <x:v>environment</x:v>
      </x:c>
      <x:c r="D211" s="4" t="str">
        <x:v>assets/ui/scenes/hero-pedestal.png</x:v>
      </x:c>
      <x:c r="E211" s="4" t="str">
        <x:v>Pixel-art foreground pedestal/cliff as isolated layer; replace the current procedural lobby platform.</x:v>
      </x:c>
      <x:c r="F211" s="4" t="str">
        <x:v>MISSING ART</x:v>
      </x:c>
      <x:c r="G211" s="4" t="str">
        <x:v>Not redrawn from a full composite mockup; existing world/cosmic art used as interim.</x:v>
      </x:c>
    </x:row>
    <x:row r="212" ht="62" customHeight="1">
      <x:c r="A212" s="4" t="str">
        <x:v>Mockup fidelity</x:v>
      </x:c>
      <x:c r="B212" s="4" t="str">
        <x:v>All</x:v>
      </x:c>
      <x:c r="C212" s="4" t="str">
        <x:v>environment</x:v>
      </x:c>
      <x:c r="D212" s="4" t="str">
        <x:v>assets/ui/scenes/mode-adventure.png</x:v>
      </x:c>
      <x:c r="E212" s="4" t="str">
        <x:v>Text-free Adventure card background matching mockup.</x:v>
      </x:c>
      <x:c r="F212" s="4" t="str">
        <x:v>MISSING ART</x:v>
      </x:c>
      <x:c r="G212" s="4" t="str">
        <x:v>Not redrawn from a full composite mockup; existing world/cosmic art used as interim.</x:v>
      </x:c>
    </x:row>
    <x:row r="213" ht="62" customHeight="1">
      <x:c r="A213" s="4" t="str">
        <x:v>Mockup fidelity</x:v>
      </x:c>
      <x:c r="B213" s="4" t="str">
        <x:v>All</x:v>
      </x:c>
      <x:c r="C213" s="4" t="str">
        <x:v>environment</x:v>
      </x:c>
      <x:c r="D213" s="4" t="str">
        <x:v>assets/ui/scenes/mode-raid.png</x:v>
      </x:c>
      <x:c r="E213" s="4" t="str">
        <x:v>Text-free Raid card background.</x:v>
      </x:c>
      <x:c r="F213" s="4" t="str">
        <x:v>MISSING ART</x:v>
      </x:c>
      <x:c r="G213" s="4" t="str">
        <x:v>Not redrawn from a full composite mockup; existing world/cosmic art used as interim.</x:v>
      </x:c>
    </x:row>
    <x:row r="214" ht="62" customHeight="1">
      <x:c r="A214" s="4" t="str">
        <x:v>Mockup fidelity</x:v>
      </x:c>
      <x:c r="B214" s="4" t="str">
        <x:v>All</x:v>
      </x:c>
      <x:c r="C214" s="4" t="str">
        <x:v>environment</x:v>
      </x:c>
      <x:c r="D214" s="4" t="str">
        <x:v>assets/ui/scenes/mode-endless.png</x:v>
      </x:c>
      <x:c r="E214" s="4" t="str">
        <x:v>Text-free Endless card background.</x:v>
      </x:c>
      <x:c r="F214" s="4" t="str">
        <x:v>MISSING ART</x:v>
      </x:c>
      <x:c r="G214" s="4" t="str">
        <x:v>Not redrawn from a full composite mockup; existing world/cosmic art used as interim.</x:v>
      </x:c>
    </x:row>
    <x:row r="215" ht="62" customHeight="1">
      <x:c r="A215" s="4" t="str">
        <x:v>Mockup fidelity</x:v>
      </x:c>
      <x:c r="B215" s="4" t="str">
        <x:v>All</x:v>
      </x:c>
      <x:c r="C215" s="4" t="str">
        <x:v>environment</x:v>
      </x:c>
      <x:c r="D215" s="4" t="str">
        <x:v>assets/ui/scenes/mode-daily.png</x:v>
      </x:c>
      <x:c r="E215" s="4" t="str">
        <x:v>Text-free Daily Challenge banner background.</x:v>
      </x:c>
      <x:c r="F215" s="4" t="str">
        <x:v>MISSING ART</x:v>
      </x:c>
      <x:c r="G215" s="4" t="str">
        <x:v>Not redrawn from a full composite mockup; existing world/cosmic art used as interim.</x:v>
      </x:c>
    </x:row>
    <x:row r="216" ht="62" customHeight="1">
      <x:c r="A216" s="4" t="str">
        <x:v>Fonts</x:v>
      </x:c>
      <x:c r="B216" s="4" t="str">
        <x:v>All</x:v>
      </x:c>
      <x:c r="C216" s="4" t="str">
        <x:v>display</x:v>
      </x:c>
      <x:c r="D216" s="4" t="str">
        <x:v>assets/fonts/pixelify-sans-latin.woff2</x:v>
      </x:c>
      <x:c r="E216" s="4" t="str">
        <x:v>Pixelify Sans 700, optional user-installed Google Fonts input.</x:v>
      </x:c>
      <x:c r="F216" s="4" t="str">
        <x:v>NOT INCLUDED</x:v>
      </x:c>
      <x:c r="G216" s="4" t="str">
        <x:v>No font binaries delivered. Installer script is optional; license review and device render check required.</x:v>
      </x:c>
    </x:row>
    <x:row r="217" ht="62" customHeight="1">
      <x:c r="A217" s="4" t="str">
        <x:v>Fonts</x:v>
      </x:c>
      <x:c r="B217" s="4" t="str">
        <x:v>All</x:v>
      </x:c>
      <x:c r="C217" s="4" t="str">
        <x:v>body</x:v>
      </x:c>
      <x:c r="D217" s="4" t="str">
        <x:v>assets/fonts/vt323-latin.woff2</x:v>
      </x:c>
      <x:c r="E217" s="4" t="str">
        <x:v>VT323 400, optional user-installed Google Fonts input.</x:v>
      </x:c>
      <x:c r="F217" s="4" t="str">
        <x:v>NOT INCLUDED</x:v>
      </x:c>
      <x:c r="G217" s="4" t="str">
        <x:v>Fallback is Courier New/monospace until provided locally.</x:v>
      </x:c>
    </x:row>
    <x:row r="218" ht="62" customHeight="1">
      <x:c r="A218" s="4" t="str">
        <x:v>Audio</x:v>
      </x:c>
      <x:c r="B218" s="4" t="str">
        <x:v>All</x:v>
      </x:c>
      <x:c r="C218" s="4" t="str">
        <x:v>fist</x:v>
      </x:c>
      <x:c r="D218" s="4" t="str">
        <x:v>assets/audio/sfx/fist-&lt;variant&gt;.ogg</x:v>
      </x:c>
      <x:c r="E218" s="4" t="str">
        <x:v>Short fist action and impact variants; optional per-material hit confirmation.</x:v>
      </x:c>
      <x:c r="F218" s="4" t="str">
        <x:v>MISSING AUDIO / POLISH</x:v>
      </x:c>
      <x:c r="G218" s="4" t="str">
        <x:v>Existing stomp/armor samples reused for functional action/impact distinction; no new VO recorded.</x:v>
      </x:c>
    </x:row>
    <x:row r="219" ht="74" customHeight="1">
      <x:c r="A219" s="51" t="str">
        <x:v>Crouch authored art</x:v>
      </x:c>
      <x:c r="B219" s="51" t="str">
        <x:v>Wissem</x:v>
      </x:c>
      <x:c r="C219" s="51" t="str">
        <x:v>crouch-idle</x:v>
      </x:c>
      <x:c r="D219" s="51" t="str">
        <x:v>assets/heroes/wissem/crouch-idle.png</x:v>
      </x:c>
      <x:c r="E219" s="51" t="str">
        <x:v>One 128×160 transparent crouched idle pose, bent knees and lowered torso, feet on the same baseline.</x:v>
      </x:c>
      <x:c r="F219" s="51" t="str">
        <x:v>MISSING / ART HANDOFF</x:v>
      </x:c>
      <x:c r="G219" s="51" t="str">
        <x:v>MISSING: temporary independent limb cutout exists, not final hand-drawn art. Add a separate clip/manifest hook on receipt, not an undocumented frame14.</x:v>
      </x:c>
    </x:row>
    <x:row r="220" ht="74" customHeight="1">
      <x:c r="A220" s="51" t="str">
        <x:v>Crouch authored art</x:v>
      </x:c>
      <x:c r="B220" s="51" t="str">
        <x:v>Wissem</x:v>
      </x:c>
      <x:c r="C220" s="51" t="str">
        <x:v>crouch-move</x:v>
      </x:c>
      <x:c r="D220" s="51" t="str">
        <x:v>assets/heroes/wissem/crouch-move.png</x:v>
      </x:c>
      <x:c r="E220" s="51" t="str">
        <x:v>Four 128×160 transparent crouch locomotion frames in one row, same origin/feet line.</x:v>
      </x:c>
      <x:c r="F220" s="51" t="str">
        <x:v>MISSING / ART HANDOFF</x:v>
      </x:c>
      <x:c r="G220" s="51" t="str">
        <x:v>MISSING: temporary independent limb cutout exists, not final hand-drawn art. Add a separate clip/manifest hook on receipt, not an undocumented frame14.</x:v>
      </x:c>
    </x:row>
    <x:row r="221" ht="74" customHeight="1">
      <x:c r="A221" s="51" t="str">
        <x:v>Crouch authored art</x:v>
      </x:c>
      <x:c r="B221" s="51" t="str">
        <x:v>Wissem</x:v>
      </x:c>
      <x:c r="C221" s="51" t="str">
        <x:v>crouch-transition</x:v>
      </x:c>
      <x:c r="D221" s="51" t="str">
        <x:v>assets/heroes/wissem/crouch-transition.png</x:v>
      </x:c>
      <x:c r="E221" s="51" t="str">
        <x:v>Four 128×160 transition cells: two enter, two exit. Standing clearance remains owned by physics.</x:v>
      </x:c>
      <x:c r="F221" s="51" t="str">
        <x:v>MISSING / ART HANDOFF</x:v>
      </x:c>
      <x:c r="G221" s="51" t="str">
        <x:v>MISSING: temporary independent limb cutout exists, not final hand-drawn art. Add a separate clip/manifest hook on receipt, not an undocumented frame14.</x:v>
      </x:c>
    </x:row>
    <x:row r="222" ht="74" customHeight="1">
      <x:c r="A222" s="51" t="str">
        <x:v>Crouch authored art</x:v>
      </x:c>
      <x:c r="B222" s="51" t="str">
        <x:v>Wissem</x:v>
      </x:c>
      <x:c r="C222" s="51" t="str">
        <x:v>crouch-attack</x:v>
      </x:c>
      <x:c r="D222" s="51" t="str">
        <x:v>assets/heroes/wissem/crouch-attack.png</x:v>
      </x:c>
      <x:c r="E222" s="51" t="str">
        <x:v>Three 128×160 cells: startup, active, recovery. Preserve existing combat phase timing and reach.</x:v>
      </x:c>
      <x:c r="F222" s="51" t="str">
        <x:v>MISSING / ART HANDOFF</x:v>
      </x:c>
      <x:c r="G222" s="51" t="str">
        <x:v>MISSING: temporary independent limb cutout exists, not final hand-drawn art. Add a separate clip/manifest hook on receipt, not an undocumented frame14.</x:v>
      </x:c>
    </x:row>
    <x:row r="223" ht="74" customHeight="1">
      <x:c r="A223" s="51" t="str">
        <x:v>Crouch rig data</x:v>
      </x:c>
      <x:c r="B223" s="51" t="str">
        <x:v>Wissem</x:v>
      </x:c>
      <x:c r="C223" s="51" t="str">
        <x:v>crouch-sockets</x:v>
      </x:c>
      <x:c r="D223" s="51" t="str">
        <x:v>assets/heroes/wissem/crouch-sockets.json</x:v>
      </x:c>
      <x:c r="E223" s="51" t="str">
        <x:v>Main/offhand sockets for every crouch clip; leg/torso, foreground fingers, clothing/weapon occlusion review.</x:v>
      </x:c>
      <x:c r="F223" s="51" t="str">
        <x:v>MISSING / ART HANDOFF</x:v>
      </x:c>
      <x:c r="G223" s="51" t="str">
        <x:v>MISSING: current approximate cutout torso transform is not final per-frame calibration.</x:v>
      </x:c>
    </x:row>
    <x:row r="224" ht="74" customHeight="1">
      <x:c r="A224" s="51" t="str">
        <x:v>Crouch authored art</x:v>
      </x:c>
      <x:c r="B224" s="51" t="str">
        <x:v>Kael</x:v>
      </x:c>
      <x:c r="C224" s="51" t="str">
        <x:v>crouch-idle</x:v>
      </x:c>
      <x:c r="D224" s="51" t="str">
        <x:v>assets/heroes/kossay/crouch-idle.png</x:v>
      </x:c>
      <x:c r="E224" s="51" t="str">
        <x:v>One 128×160 transparent crouched idle pose, bent knees and lowered torso, feet on the same baseline.</x:v>
      </x:c>
      <x:c r="F224" s="51" t="str">
        <x:v>MISSING / ART HANDOFF</x:v>
      </x:c>
      <x:c r="G224" s="51" t="str">
        <x:v>MISSING: temporary independent limb cutout exists, not final hand-drawn art. Add a separate clip/manifest hook on receipt, not an undocumented frame14.</x:v>
      </x:c>
    </x:row>
    <x:row r="225" ht="74" customHeight="1">
      <x:c r="A225" s="51" t="str">
        <x:v>Crouch authored art</x:v>
      </x:c>
      <x:c r="B225" s="51" t="str">
        <x:v>Kael</x:v>
      </x:c>
      <x:c r="C225" s="51" t="str">
        <x:v>crouch-move</x:v>
      </x:c>
      <x:c r="D225" s="51" t="str">
        <x:v>assets/heroes/kossay/crouch-move.png</x:v>
      </x:c>
      <x:c r="E225" s="51" t="str">
        <x:v>Four 128×160 transparent crouch locomotion frames in one row, same origin/feet line.</x:v>
      </x:c>
      <x:c r="F225" s="51" t="str">
        <x:v>MISSING / ART HANDOFF</x:v>
      </x:c>
      <x:c r="G225" s="51" t="str">
        <x:v>MISSING: temporary independent limb cutout exists, not final hand-drawn art. Add a separate clip/manifest hook on receipt, not an undocumented frame14.</x:v>
      </x:c>
    </x:row>
    <x:row r="226" ht="74" customHeight="1">
      <x:c r="A226" s="51" t="str">
        <x:v>Crouch authored art</x:v>
      </x:c>
      <x:c r="B226" s="51" t="str">
        <x:v>Kael</x:v>
      </x:c>
      <x:c r="C226" s="51" t="str">
        <x:v>crouch-transition</x:v>
      </x:c>
      <x:c r="D226" s="51" t="str">
        <x:v>assets/heroes/kossay/crouch-transition.png</x:v>
      </x:c>
      <x:c r="E226" s="51" t="str">
        <x:v>Four 128×160 transition cells: two enter, two exit. Standing clearance remains owned by physics.</x:v>
      </x:c>
      <x:c r="F226" s="51" t="str">
        <x:v>MISSING / ART HANDOFF</x:v>
      </x:c>
      <x:c r="G226" s="51" t="str">
        <x:v>MISSING: temporary independent limb cutout exists, not final hand-drawn art. Add a separate clip/manifest hook on receipt, not an undocumented frame14.</x:v>
      </x:c>
    </x:row>
    <x:row r="227" ht="74" customHeight="1">
      <x:c r="A227" s="51" t="str">
        <x:v>Crouch authored art</x:v>
      </x:c>
      <x:c r="B227" s="51" t="str">
        <x:v>Kael</x:v>
      </x:c>
      <x:c r="C227" s="51" t="str">
        <x:v>crouch-attack</x:v>
      </x:c>
      <x:c r="D227" s="51" t="str">
        <x:v>assets/heroes/kossay/crouch-attack.png</x:v>
      </x:c>
      <x:c r="E227" s="51" t="str">
        <x:v>Three 128×160 cells: startup, active, recovery. Preserve existing combat phase timing and reach.</x:v>
      </x:c>
      <x:c r="F227" s="51" t="str">
        <x:v>MISSING / ART HANDOFF</x:v>
      </x:c>
      <x:c r="G227" s="51" t="str">
        <x:v>MISSING: temporary independent limb cutout exists, not final hand-drawn art. Add a separate clip/manifest hook on receipt, not an undocumented frame14.</x:v>
      </x:c>
    </x:row>
    <x:row r="228" ht="74" customHeight="1">
      <x:c r="A228" s="51" t="str">
        <x:v>Crouch rig data</x:v>
      </x:c>
      <x:c r="B228" s="51" t="str">
        <x:v>Kael</x:v>
      </x:c>
      <x:c r="C228" s="51" t="str">
        <x:v>crouch-sockets</x:v>
      </x:c>
      <x:c r="D228" s="51" t="str">
        <x:v>assets/heroes/kossay/crouch-sockets.json</x:v>
      </x:c>
      <x:c r="E228" s="51" t="str">
        <x:v>Main/offhand sockets for every crouch clip; leg/torso, foreground fingers, clothing/weapon occlusion review.</x:v>
      </x:c>
      <x:c r="F228" s="51" t="str">
        <x:v>MISSING / ART HANDOFF</x:v>
      </x:c>
      <x:c r="G228" s="51" t="str">
        <x:v>MISSING: current approximate cutout torso transform is not final per-frame calibration.</x:v>
      </x:c>
    </x:row>
    <x:row r="229" ht="74" customHeight="1">
      <x:c r="A229" s="51" t="str">
        <x:v>Crouch authored art</x:v>
      </x:c>
      <x:c r="B229" s="51" t="str">
        <x:v>Astra</x:v>
      </x:c>
      <x:c r="C229" s="51" t="str">
        <x:v>crouch-idle</x:v>
      </x:c>
      <x:c r="D229" s="51" t="str">
        <x:v>assets/heroes/yakine/crouch-idle.png</x:v>
      </x:c>
      <x:c r="E229" s="51" t="str">
        <x:v>One 128×160 transparent crouched idle pose, bent knees and lowered torso, feet on the same baseline.</x:v>
      </x:c>
      <x:c r="F229" s="51" t="str">
        <x:v>MISSING / ART HANDOFF</x:v>
      </x:c>
      <x:c r="G229" s="51" t="str">
        <x:v>MISSING: temporary independent limb cutout exists, not final hand-drawn art. Add a separate clip/manifest hook on receipt, not an undocumented frame14.</x:v>
      </x:c>
    </x:row>
    <x:row r="230" ht="74" customHeight="1">
      <x:c r="A230" s="51" t="str">
        <x:v>Crouch authored art</x:v>
      </x:c>
      <x:c r="B230" s="51" t="str">
        <x:v>Astra</x:v>
      </x:c>
      <x:c r="C230" s="51" t="str">
        <x:v>crouch-move</x:v>
      </x:c>
      <x:c r="D230" s="51" t="str">
        <x:v>assets/heroes/yakine/crouch-move.png</x:v>
      </x:c>
      <x:c r="E230" s="51" t="str">
        <x:v>Four 128×160 transparent crouch locomotion frames in one row, same origin/feet line.</x:v>
      </x:c>
      <x:c r="F230" s="51" t="str">
        <x:v>MISSING / ART HANDOFF</x:v>
      </x:c>
      <x:c r="G230" s="51" t="str">
        <x:v>MISSING: temporary independent limb cutout exists, not final hand-drawn art. Add a separate clip/manifest hook on receipt, not an undocumented frame14.</x:v>
      </x:c>
    </x:row>
    <x:row r="231" ht="74" customHeight="1">
      <x:c r="A231" s="51" t="str">
        <x:v>Crouch authored art</x:v>
      </x:c>
      <x:c r="B231" s="51" t="str">
        <x:v>Astra</x:v>
      </x:c>
      <x:c r="C231" s="51" t="str">
        <x:v>crouch-transition</x:v>
      </x:c>
      <x:c r="D231" s="51" t="str">
        <x:v>assets/heroes/yakine/crouch-transition.png</x:v>
      </x:c>
      <x:c r="E231" s="51" t="str">
        <x:v>Four 128×160 transition cells: two enter, two exit. Standing clearance remains owned by physics.</x:v>
      </x:c>
      <x:c r="F231" s="51" t="str">
        <x:v>MISSING / ART HANDOFF</x:v>
      </x:c>
      <x:c r="G231" s="51" t="str">
        <x:v>MISSING: temporary independent limb cutout exists, not final hand-drawn art. Add a separate clip/manifest hook on receipt, not an undocumented frame14.</x:v>
      </x:c>
    </x:row>
    <x:row r="232" ht="74" customHeight="1">
      <x:c r="A232" s="51" t="str">
        <x:v>Crouch authored art</x:v>
      </x:c>
      <x:c r="B232" s="51" t="str">
        <x:v>Astra</x:v>
      </x:c>
      <x:c r="C232" s="51" t="str">
        <x:v>crouch-attack</x:v>
      </x:c>
      <x:c r="D232" s="51" t="str">
        <x:v>assets/heroes/yakine/crouch-attack.png</x:v>
      </x:c>
      <x:c r="E232" s="51" t="str">
        <x:v>Three 128×160 cells: startup, active, recovery. Preserve existing combat phase timing and reach.</x:v>
      </x:c>
      <x:c r="F232" s="51" t="str">
        <x:v>MISSING / ART HANDOFF</x:v>
      </x:c>
      <x:c r="G232" s="51" t="str">
        <x:v>MISSING: temporary independent limb cutout exists, not final hand-drawn art. Add a separate clip/manifest hook on receipt, not an undocumented frame14.</x:v>
      </x:c>
    </x:row>
    <x:row r="233" ht="74" customHeight="1">
      <x:c r="A233" s="51" t="str">
        <x:v>Crouch rig data</x:v>
      </x:c>
      <x:c r="B233" s="51" t="str">
        <x:v>Astra</x:v>
      </x:c>
      <x:c r="C233" s="51" t="str">
        <x:v>crouch-sockets</x:v>
      </x:c>
      <x:c r="D233" s="51" t="str">
        <x:v>assets/heroes/yakine/crouch-sockets.json</x:v>
      </x:c>
      <x:c r="E233" s="51" t="str">
        <x:v>Main/offhand sockets for every crouch clip; leg/torso, foreground fingers, clothing/weapon occlusion review.</x:v>
      </x:c>
      <x:c r="F233" s="51" t="str">
        <x:v>MISSING / ART HANDOFF</x:v>
      </x:c>
      <x:c r="G233" s="51" t="str">
        <x:v>MISSING: current approximate cutout torso transform is not final per-frame calibration.</x:v>
      </x:c>
    </x:row>
    <x:row r="234" ht="74" customHeight="1">
      <x:c r="A234" s="51" t="str">
        <x:v>Crouch authored art</x:v>
      </x:c>
      <x:c r="B234" s="51" t="str">
        <x:v>Nyx</x:v>
      </x:c>
      <x:c r="C234" s="51" t="str">
        <x:v>crouch-idle</x:v>
      </x:c>
      <x:c r="D234" s="51" t="str">
        <x:v>assets/heroes/taky/crouch-idle.png</x:v>
      </x:c>
      <x:c r="E234" s="51" t="str">
        <x:v>One 128×160 transparent crouched idle pose, bent knees and lowered torso, feet on the same baseline.</x:v>
      </x:c>
      <x:c r="F234" s="51" t="str">
        <x:v>MISSING / ART HANDOFF</x:v>
      </x:c>
      <x:c r="G234" s="51" t="str">
        <x:v>MISSING: temporary independent limb cutout exists, not final hand-drawn art. Add a separate clip/manifest hook on receipt, not an undocumented frame14.</x:v>
      </x:c>
    </x:row>
    <x:row r="235" ht="74" customHeight="1">
      <x:c r="A235" s="51" t="str">
        <x:v>Crouch authored art</x:v>
      </x:c>
      <x:c r="B235" s="51" t="str">
        <x:v>Nyx</x:v>
      </x:c>
      <x:c r="C235" s="51" t="str">
        <x:v>crouch-move</x:v>
      </x:c>
      <x:c r="D235" s="51" t="str">
        <x:v>assets/heroes/taky/crouch-move.png</x:v>
      </x:c>
      <x:c r="E235" s="51" t="str">
        <x:v>Four 128×160 transparent crouch locomotion frames in one row, same origin/feet line.</x:v>
      </x:c>
      <x:c r="F235" s="51" t="str">
        <x:v>MISSING / ART HANDOFF</x:v>
      </x:c>
      <x:c r="G235" s="51" t="str">
        <x:v>MISSING: temporary independent limb cutout exists, not final hand-drawn art. Add a separate clip/manifest hook on receipt, not an undocumented frame14.</x:v>
      </x:c>
    </x:row>
    <x:row r="236" ht="74" customHeight="1">
      <x:c r="A236" s="51" t="str">
        <x:v>Crouch authored art</x:v>
      </x:c>
      <x:c r="B236" s="51" t="str">
        <x:v>Nyx</x:v>
      </x:c>
      <x:c r="C236" s="51" t="str">
        <x:v>crouch-transition</x:v>
      </x:c>
      <x:c r="D236" s="51" t="str">
        <x:v>assets/heroes/taky/crouch-transition.png</x:v>
      </x:c>
      <x:c r="E236" s="51" t="str">
        <x:v>Four 128×160 transition cells: two enter, two exit. Standing clearance remains owned by physics.</x:v>
      </x:c>
      <x:c r="F236" s="51" t="str">
        <x:v>MISSING / ART HANDOFF</x:v>
      </x:c>
      <x:c r="G236" s="51" t="str">
        <x:v>MISSING: temporary independent limb cutout exists, not final hand-drawn art. Add a separate clip/manifest hook on receipt, not an undocumented frame14.</x:v>
      </x:c>
    </x:row>
    <x:row r="237" ht="74" customHeight="1">
      <x:c r="A237" s="51" t="str">
        <x:v>Crouch authored art</x:v>
      </x:c>
      <x:c r="B237" s="51" t="str">
        <x:v>Nyx</x:v>
      </x:c>
      <x:c r="C237" s="51" t="str">
        <x:v>crouch-attack</x:v>
      </x:c>
      <x:c r="D237" s="51" t="str">
        <x:v>assets/heroes/taky/crouch-attack.png</x:v>
      </x:c>
      <x:c r="E237" s="51" t="str">
        <x:v>Three 128×160 cells: startup, active, recovery. Preserve existing combat phase timing and reach.</x:v>
      </x:c>
      <x:c r="F237" s="51" t="str">
        <x:v>MISSING / ART HANDOFF</x:v>
      </x:c>
      <x:c r="G237" s="51" t="str">
        <x:v>MISSING: temporary independent limb cutout exists, not final hand-drawn art. Add a separate clip/manifest hook on receipt, not an undocumented frame14.</x:v>
      </x:c>
    </x:row>
    <x:row r="238" ht="74" customHeight="1">
      <x:c r="A238" s="51" t="str">
        <x:v>Crouch rig data</x:v>
      </x:c>
      <x:c r="B238" s="51" t="str">
        <x:v>Nyx</x:v>
      </x:c>
      <x:c r="C238" s="51" t="str">
        <x:v>crouch-sockets</x:v>
      </x:c>
      <x:c r="D238" s="51" t="str">
        <x:v>assets/heroes/taky/crouch-sockets.json</x:v>
      </x:c>
      <x:c r="E238" s="51" t="str">
        <x:v>Main/offhand sockets for every crouch clip; leg/torso, foreground fingers, clothing/weapon occlusion review.</x:v>
      </x:c>
      <x:c r="F238" s="51" t="str">
        <x:v>MISSING / ART HANDOFF</x:v>
      </x:c>
      <x:c r="G238" s="51" t="str">
        <x:v>MISSING: current approximate cutout torso transform is not final per-frame calibration.</x:v>
      </x:c>
    </x:row>
    <x:row r="239" ht="74" customHeight="1">
      <x:c r="A239" s="51" t="str">
        <x:v>Crouch authored art</x:v>
      </x:c>
      <x:c r="B239" s="51" t="str">
        <x:v>Bront</x:v>
      </x:c>
      <x:c r="C239" s="51" t="str">
        <x:v>crouch-idle</x:v>
      </x:c>
      <x:c r="D239" s="51" t="str">
        <x:v>assets/heroes/garsi/crouch-idle.png</x:v>
      </x:c>
      <x:c r="E239" s="51" t="str">
        <x:v>One 128×160 transparent crouched idle pose, bent knees and lowered torso, feet on the same baseline.</x:v>
      </x:c>
      <x:c r="F239" s="51" t="str">
        <x:v>MISSING / ART HANDOFF</x:v>
      </x:c>
      <x:c r="G239" s="51" t="str">
        <x:v>MISSING: temporary independent limb cutout exists, not final hand-drawn art. Add a separate clip/manifest hook on receipt, not an undocumented frame14.</x:v>
      </x:c>
    </x:row>
    <x:row r="240" ht="74" customHeight="1">
      <x:c r="A240" s="51" t="str">
        <x:v>Crouch authored art</x:v>
      </x:c>
      <x:c r="B240" s="51" t="str">
        <x:v>Bront</x:v>
      </x:c>
      <x:c r="C240" s="51" t="str">
        <x:v>crouch-move</x:v>
      </x:c>
      <x:c r="D240" s="51" t="str">
        <x:v>assets/heroes/garsi/crouch-move.png</x:v>
      </x:c>
      <x:c r="E240" s="51" t="str">
        <x:v>Four 128×160 transparent crouch locomotion frames in one row, same origin/feet line.</x:v>
      </x:c>
      <x:c r="F240" s="51" t="str">
        <x:v>MISSING / ART HANDOFF</x:v>
      </x:c>
      <x:c r="G240" s="51" t="str">
        <x:v>MISSING: temporary independent limb cutout exists, not final hand-drawn art. Add a separate clip/manifest hook on receipt, not an undocumented frame14.</x:v>
      </x:c>
    </x:row>
    <x:row r="241" ht="74" customHeight="1">
      <x:c r="A241" s="51" t="str">
        <x:v>Crouch authored art</x:v>
      </x:c>
      <x:c r="B241" s="51" t="str">
        <x:v>Bront</x:v>
      </x:c>
      <x:c r="C241" s="51" t="str">
        <x:v>crouch-transition</x:v>
      </x:c>
      <x:c r="D241" s="51" t="str">
        <x:v>assets/heroes/garsi/crouch-transition.png</x:v>
      </x:c>
      <x:c r="E241" s="51" t="str">
        <x:v>Four 128×160 transition cells: two enter, two exit. Standing clearance remains owned by physics.</x:v>
      </x:c>
      <x:c r="F241" s="51" t="str">
        <x:v>MISSING / ART HANDOFF</x:v>
      </x:c>
      <x:c r="G241" s="51" t="str">
        <x:v>MISSING: temporary independent limb cutout exists, not final hand-drawn art. Add a separate clip/manifest hook on receipt, not an undocumented frame14.</x:v>
      </x:c>
    </x:row>
    <x:row r="242" ht="74" customHeight="1">
      <x:c r="A242" s="51" t="str">
        <x:v>Crouch authored art</x:v>
      </x:c>
      <x:c r="B242" s="51" t="str">
        <x:v>Bront</x:v>
      </x:c>
      <x:c r="C242" s="51" t="str">
        <x:v>crouch-attack</x:v>
      </x:c>
      <x:c r="D242" s="51" t="str">
        <x:v>assets/heroes/garsi/crouch-attack.png</x:v>
      </x:c>
      <x:c r="E242" s="51" t="str">
        <x:v>Three 128×160 cells: startup, active, recovery. Preserve existing combat phase timing and reach.</x:v>
      </x:c>
      <x:c r="F242" s="51" t="str">
        <x:v>MISSING / ART HANDOFF</x:v>
      </x:c>
      <x:c r="G242" s="51" t="str">
        <x:v>MISSING: temporary independent limb cutout exists, not final hand-drawn art. Add a separate clip/manifest hook on receipt, not an undocumented frame14.</x:v>
      </x:c>
    </x:row>
    <x:row r="243" ht="74" customHeight="1">
      <x:c r="A243" s="51" t="str">
        <x:v>Crouch rig data</x:v>
      </x:c>
      <x:c r="B243" s="51" t="str">
        <x:v>Bront</x:v>
      </x:c>
      <x:c r="C243" s="51" t="str">
        <x:v>crouch-sockets</x:v>
      </x:c>
      <x:c r="D243" s="51" t="str">
        <x:v>assets/heroes/garsi/crouch-sockets.json</x:v>
      </x:c>
      <x:c r="E243" s="51" t="str">
        <x:v>Main/offhand sockets for every crouch clip; leg/torso, foreground fingers, clothing/weapon occlusion review.</x:v>
      </x:c>
      <x:c r="F243" s="51" t="str">
        <x:v>MISSING / ART HANDOFF</x:v>
      </x:c>
      <x:c r="G243" s="51" t="str">
        <x:v>MISSING: current approximate cutout torso transform is not final per-frame calibration.</x:v>
      </x:c>
    </x:row>
    <x:row r="244" ht="74" customHeight="1">
      <x:c r="A244" s="51" t="str">
        <x:v>Crouch authored art</x:v>
      </x:c>
      <x:c r="B244" s="51" t="str">
        <x:v>Zephyr</x:v>
      </x:c>
      <x:c r="C244" s="51" t="str">
        <x:v>crouch-idle</x:v>
      </x:c>
      <x:c r="D244" s="51" t="str">
        <x:v>assets/heroes/tounsi/crouch-idle.png</x:v>
      </x:c>
      <x:c r="E244" s="51" t="str">
        <x:v>One 128×160 transparent crouched idle pose, bent knees and lowered torso, feet on the same baseline.</x:v>
      </x:c>
      <x:c r="F244" s="51" t="str">
        <x:v>MISSING / ART HANDOFF</x:v>
      </x:c>
      <x:c r="G244" s="51" t="str">
        <x:v>MISSING: temporary independent limb cutout exists, not final hand-drawn art. Add a separate clip/manifest hook on receipt, not an undocumented frame14.</x:v>
      </x:c>
    </x:row>
    <x:row r="245" ht="74" customHeight="1">
      <x:c r="A245" s="51" t="str">
        <x:v>Crouch authored art</x:v>
      </x:c>
      <x:c r="B245" s="51" t="str">
        <x:v>Zephyr</x:v>
      </x:c>
      <x:c r="C245" s="51" t="str">
        <x:v>crouch-move</x:v>
      </x:c>
      <x:c r="D245" s="51" t="str">
        <x:v>assets/heroes/tounsi/crouch-move.png</x:v>
      </x:c>
      <x:c r="E245" s="51" t="str">
        <x:v>Four 128×160 transparent crouch locomotion frames in one row, same origin/feet line.</x:v>
      </x:c>
      <x:c r="F245" s="51" t="str">
        <x:v>MISSING / ART HANDOFF</x:v>
      </x:c>
      <x:c r="G245" s="51" t="str">
        <x:v>MISSING: temporary independent limb cutout exists, not final hand-drawn art. Add a separate clip/manifest hook on receipt, not an undocumented frame14.</x:v>
      </x:c>
    </x:row>
    <x:row r="246" ht="74" customHeight="1">
      <x:c r="A246" s="51" t="str">
        <x:v>Crouch authored art</x:v>
      </x:c>
      <x:c r="B246" s="51" t="str">
        <x:v>Zephyr</x:v>
      </x:c>
      <x:c r="C246" s="51" t="str">
        <x:v>crouch-transition</x:v>
      </x:c>
      <x:c r="D246" s="51" t="str">
        <x:v>assets/heroes/tounsi/crouch-transition.png</x:v>
      </x:c>
      <x:c r="E246" s="51" t="str">
        <x:v>Four 128×160 transition cells: two enter, two exit. Standing clearance remains owned by physics.</x:v>
      </x:c>
      <x:c r="F246" s="51" t="str">
        <x:v>MISSING / ART HANDOFF</x:v>
      </x:c>
      <x:c r="G246" s="51" t="str">
        <x:v>MISSING: temporary independent limb cutout exists, not final hand-drawn art. Add a separate clip/manifest hook on receipt, not an undocumented frame14.</x:v>
      </x:c>
    </x:row>
    <x:row r="247" ht="74" customHeight="1">
      <x:c r="A247" s="51" t="str">
        <x:v>Crouch authored art</x:v>
      </x:c>
      <x:c r="B247" s="51" t="str">
        <x:v>Zephyr</x:v>
      </x:c>
      <x:c r="C247" s="51" t="str">
        <x:v>crouch-attack</x:v>
      </x:c>
      <x:c r="D247" s="51" t="str">
        <x:v>assets/heroes/tounsi/crouch-attack.png</x:v>
      </x:c>
      <x:c r="E247" s="51" t="str">
        <x:v>Three 128×160 cells: startup, active, recovery. Preserve existing combat phase timing and reach.</x:v>
      </x:c>
      <x:c r="F247" s="51" t="str">
        <x:v>MISSING / ART HANDOFF</x:v>
      </x:c>
      <x:c r="G247" s="51" t="str">
        <x:v>MISSING: temporary independent limb cutout exists, not final hand-drawn art. Add a separate clip/manifest hook on receipt, not an undocumented frame14.</x:v>
      </x:c>
    </x:row>
    <x:row r="248" ht="74" customHeight="1">
      <x:c r="A248" s="51" t="str">
        <x:v>Crouch rig data</x:v>
      </x:c>
      <x:c r="B248" s="51" t="str">
        <x:v>Zephyr</x:v>
      </x:c>
      <x:c r="C248" s="51" t="str">
        <x:v>crouch-sockets</x:v>
      </x:c>
      <x:c r="D248" s="51" t="str">
        <x:v>assets/heroes/tounsi/crouch-sockets.json</x:v>
      </x:c>
      <x:c r="E248" s="51" t="str">
        <x:v>Main/offhand sockets for every crouch clip; leg/torso, foreground fingers, clothing/weapon occlusion review.</x:v>
      </x:c>
      <x:c r="F248" s="51" t="str">
        <x:v>MISSING / ART HANDOFF</x:v>
      </x:c>
      <x:c r="G248" s="51" t="str">
        <x:v>MISSING: current approximate cutout torso transform is not final per-frame calibration.</x:v>
      </x:c>
    </x:row>
    <x:row r="249" ht="74" customHeight="1">
      <x:c r="A249" s="51" t="str">
        <x:v>Crouch authored art</x:v>
      </x:c>
      <x:c r="B249" s="51" t="str">
        <x:v>Volt</x:v>
      </x:c>
      <x:c r="C249" s="51" t="str">
        <x:v>crouch-idle</x:v>
      </x:c>
      <x:c r="D249" s="51" t="str">
        <x:v>assets/heroes/youssef/crouch-idle.png</x:v>
      </x:c>
      <x:c r="E249" s="51" t="str">
        <x:v>One 128×160 transparent crouched idle pose, bent knees and lowered torso, feet on the same baseline.</x:v>
      </x:c>
      <x:c r="F249" s="51" t="str">
        <x:v>MISSING / ART HANDOFF</x:v>
      </x:c>
      <x:c r="G249" s="51" t="str">
        <x:v>MISSING: temporary independent limb cutout exists, not final hand-drawn art. Add a separate clip/manifest hook on receipt, not an undocumented frame14.</x:v>
      </x:c>
    </x:row>
    <x:row r="250" ht="74" customHeight="1">
      <x:c r="A250" s="51" t="str">
        <x:v>Crouch authored art</x:v>
      </x:c>
      <x:c r="B250" s="51" t="str">
        <x:v>Volt</x:v>
      </x:c>
      <x:c r="C250" s="51" t="str">
        <x:v>crouch-move</x:v>
      </x:c>
      <x:c r="D250" s="51" t="str">
        <x:v>assets/heroes/youssef/crouch-move.png</x:v>
      </x:c>
      <x:c r="E250" s="51" t="str">
        <x:v>Four 128×160 transparent crouch locomotion frames in one row, same origin/feet line.</x:v>
      </x:c>
      <x:c r="F250" s="51" t="str">
        <x:v>MISSING / ART HANDOFF</x:v>
      </x:c>
      <x:c r="G250" s="51" t="str">
        <x:v>MISSING: temporary independent limb cutout exists, not final hand-drawn art. Add a separate clip/manifest hook on receipt, not an undocumented frame14.</x:v>
      </x:c>
    </x:row>
    <x:row r="251" ht="74" customHeight="1">
      <x:c r="A251" s="51" t="str">
        <x:v>Crouch authored art</x:v>
      </x:c>
      <x:c r="B251" s="51" t="str">
        <x:v>Volt</x:v>
      </x:c>
      <x:c r="C251" s="51" t="str">
        <x:v>crouch-transition</x:v>
      </x:c>
      <x:c r="D251" s="51" t="str">
        <x:v>assets/heroes/youssef/crouch-transition.png</x:v>
      </x:c>
      <x:c r="E251" s="51" t="str">
        <x:v>Four 128×160 transition cells: two enter, two exit. Standing clearance remains owned by physics.</x:v>
      </x:c>
      <x:c r="F251" s="51" t="str">
        <x:v>MISSING / ART HANDOFF</x:v>
      </x:c>
      <x:c r="G251" s="51" t="str">
        <x:v>MISSING: temporary independent limb cutout exists, not final hand-drawn art. Add a separate clip/manifest hook on receipt, not an undocumented frame14.</x:v>
      </x:c>
    </x:row>
    <x:row r="252" ht="74" customHeight="1">
      <x:c r="A252" s="51" t="str">
        <x:v>Crouch authored art</x:v>
      </x:c>
      <x:c r="B252" s="51" t="str">
        <x:v>Volt</x:v>
      </x:c>
      <x:c r="C252" s="51" t="str">
        <x:v>crouch-attack</x:v>
      </x:c>
      <x:c r="D252" s="51" t="str">
        <x:v>assets/heroes/youssef/crouch-attack.png</x:v>
      </x:c>
      <x:c r="E252" s="51" t="str">
        <x:v>Three 128×160 cells: startup, active, recovery. Preserve existing combat phase timing and reach.</x:v>
      </x:c>
      <x:c r="F252" s="51" t="str">
        <x:v>MISSING / ART HANDOFF</x:v>
      </x:c>
      <x:c r="G252" s="51" t="str">
        <x:v>MISSING: temporary independent limb cutout exists, not final hand-drawn art. Add a separate clip/manifest hook on receipt, not an undocumented frame14.</x:v>
      </x:c>
    </x:row>
    <x:row r="253" ht="74" customHeight="1">
      <x:c r="A253" s="51" t="str">
        <x:v>Crouch rig data</x:v>
      </x:c>
      <x:c r="B253" s="51" t="str">
        <x:v>Volt</x:v>
      </x:c>
      <x:c r="C253" s="51" t="str">
        <x:v>crouch-sockets</x:v>
      </x:c>
      <x:c r="D253" s="51" t="str">
        <x:v>assets/heroes/youssef/crouch-sockets.json</x:v>
      </x:c>
      <x:c r="E253" s="51" t="str">
        <x:v>Main/offhand sockets for every crouch clip; leg/torso, foreground fingers, clothing/weapon occlusion review.</x:v>
      </x:c>
      <x:c r="F253" s="51" t="str">
        <x:v>MISSING / ART HANDOFF</x:v>
      </x:c>
      <x:c r="G253" s="51" t="str">
        <x:v>MISSING: current approximate cutout torso transform is not final per-frame calibration.</x:v>
      </x:c>
    </x:row>
    <x:row r="254" ht="74" customHeight="1">
      <x:c r="A254" s="51" t="str">
        <x:v>Crouch authored art</x:v>
      </x:c>
      <x:c r="B254" s="51" t="str">
        <x:v>Skye</x:v>
      </x:c>
      <x:c r="C254" s="51" t="str">
        <x:v>crouch-idle</x:v>
      </x:c>
      <x:c r="D254" s="51" t="str">
        <x:v>assets/heroes/loey/crouch-idle.png</x:v>
      </x:c>
      <x:c r="E254" s="51" t="str">
        <x:v>One 128×160 transparent crouched idle pose, bent knees and lowered torso, feet on the same baseline.</x:v>
      </x:c>
      <x:c r="F254" s="51" t="str">
        <x:v>MISSING / ART HANDOFF</x:v>
      </x:c>
      <x:c r="G254" s="51" t="str">
        <x:v>MISSING: temporary independent limb cutout exists, not final hand-drawn art. Add a separate clip/manifest hook on receipt, not an undocumented frame14.</x:v>
      </x:c>
    </x:row>
    <x:row r="255" ht="74" customHeight="1">
      <x:c r="A255" s="51" t="str">
        <x:v>Crouch authored art</x:v>
      </x:c>
      <x:c r="B255" s="51" t="str">
        <x:v>Skye</x:v>
      </x:c>
      <x:c r="C255" s="51" t="str">
        <x:v>crouch-move</x:v>
      </x:c>
      <x:c r="D255" s="51" t="str">
        <x:v>assets/heroes/loey/crouch-move.png</x:v>
      </x:c>
      <x:c r="E255" s="51" t="str">
        <x:v>Four 128×160 transparent crouch locomotion frames in one row, same origin/feet line.</x:v>
      </x:c>
      <x:c r="F255" s="51" t="str">
        <x:v>MISSING / ART HANDOFF</x:v>
      </x:c>
      <x:c r="G255" s="51" t="str">
        <x:v>MISSING: temporary independent limb cutout exists, not final hand-drawn art. Add a separate clip/manifest hook on receipt, not an undocumented frame14.</x:v>
      </x:c>
    </x:row>
    <x:row r="256" ht="74" customHeight="1">
      <x:c r="A256" s="51" t="str">
        <x:v>Crouch authored art</x:v>
      </x:c>
      <x:c r="B256" s="51" t="str">
        <x:v>Skye</x:v>
      </x:c>
      <x:c r="C256" s="51" t="str">
        <x:v>crouch-transition</x:v>
      </x:c>
      <x:c r="D256" s="51" t="str">
        <x:v>assets/heroes/loey/crouch-transition.png</x:v>
      </x:c>
      <x:c r="E256" s="51" t="str">
        <x:v>Four 128×160 transition cells: two enter, two exit. Standing clearance remains owned by physics.</x:v>
      </x:c>
      <x:c r="F256" s="51" t="str">
        <x:v>MISSING / ART HANDOFF</x:v>
      </x:c>
      <x:c r="G256" s="51" t="str">
        <x:v>MISSING: temporary independent limb cutout exists, not final hand-drawn art. Add a separate clip/manifest hook on receipt, not an undocumented frame14.</x:v>
      </x:c>
    </x:row>
    <x:row r="257" ht="74" customHeight="1">
      <x:c r="A257" s="51" t="str">
        <x:v>Crouch authored art</x:v>
      </x:c>
      <x:c r="B257" s="51" t="str">
        <x:v>Skye</x:v>
      </x:c>
      <x:c r="C257" s="51" t="str">
        <x:v>crouch-attack</x:v>
      </x:c>
      <x:c r="D257" s="51" t="str">
        <x:v>assets/heroes/loey/crouch-attack.png</x:v>
      </x:c>
      <x:c r="E257" s="51" t="str">
        <x:v>Three 128×160 cells: startup, active, recovery. Preserve existing combat phase timing and reach.</x:v>
      </x:c>
      <x:c r="F257" s="51" t="str">
        <x:v>MISSING / ART HANDOFF</x:v>
      </x:c>
      <x:c r="G257" s="51" t="str">
        <x:v>MISSING: temporary independent limb cutout exists, not final hand-drawn art. Add a separate clip/manifest hook on receipt, not an undocumented frame14.</x:v>
      </x:c>
    </x:row>
    <x:row r="258" ht="74" customHeight="1">
      <x:c r="A258" s="51" t="str">
        <x:v>Crouch rig data</x:v>
      </x:c>
      <x:c r="B258" s="51" t="str">
        <x:v>Skye</x:v>
      </x:c>
      <x:c r="C258" s="51" t="str">
        <x:v>crouch-sockets</x:v>
      </x:c>
      <x:c r="D258" s="51" t="str">
        <x:v>assets/heroes/loey/crouch-sockets.json</x:v>
      </x:c>
      <x:c r="E258" s="51" t="str">
        <x:v>Main/offhand sockets for every crouch clip; leg/torso, foreground fingers, clothing/weapon occlusion review.</x:v>
      </x:c>
      <x:c r="F258" s="51" t="str">
        <x:v>MISSING / ART HANDOFF</x:v>
      </x:c>
      <x:c r="G258" s="51" t="str">
        <x:v>MISSING: current approximate cutout torso transform is not final per-frame calibration.</x:v>
      </x:c>
    </x:row>
    <x:row r="259" ht="74" customHeight="1">
      <x:c r="A259" s="51" t="str">
        <x:v>Crouch authored art</x:v>
      </x:c>
      <x:c r="B259" s="51" t="str">
        <x:v>Sol</x:v>
      </x:c>
      <x:c r="C259" s="51" t="str">
        <x:v>crouch-idle</x:v>
      </x:c>
      <x:c r="D259" s="51" t="str">
        <x:v>assets/heroes/rayan/crouch-idle.png</x:v>
      </x:c>
      <x:c r="E259" s="51" t="str">
        <x:v>One 128×160 transparent crouched idle pose, bent knees and lowered torso, feet on the same baseline.</x:v>
      </x:c>
      <x:c r="F259" s="51" t="str">
        <x:v>MISSING / ART HANDOFF</x:v>
      </x:c>
      <x:c r="G259" s="51" t="str">
        <x:v>MISSING: temporary independent limb cutout exists, not final hand-drawn art. Add a separate clip/manifest hook on receipt, not an undocumented frame14.</x:v>
      </x:c>
    </x:row>
    <x:row r="260" ht="74" customHeight="1">
      <x:c r="A260" s="51" t="str">
        <x:v>Crouch authored art</x:v>
      </x:c>
      <x:c r="B260" s="51" t="str">
        <x:v>Sol</x:v>
      </x:c>
      <x:c r="C260" s="51" t="str">
        <x:v>crouch-move</x:v>
      </x:c>
      <x:c r="D260" s="51" t="str">
        <x:v>assets/heroes/rayan/crouch-move.png</x:v>
      </x:c>
      <x:c r="E260" s="51" t="str">
        <x:v>Four 128×160 transparent crouch locomotion frames in one row, same origin/feet line.</x:v>
      </x:c>
      <x:c r="F260" s="51" t="str">
        <x:v>MISSING / ART HANDOFF</x:v>
      </x:c>
      <x:c r="G260" s="51" t="str">
        <x:v>MISSING: temporary independent limb cutout exists, not final hand-drawn art. Add a separate clip/manifest hook on receipt, not an undocumented frame14.</x:v>
      </x:c>
    </x:row>
    <x:row r="261" ht="74" customHeight="1">
      <x:c r="A261" s="51" t="str">
        <x:v>Crouch authored art</x:v>
      </x:c>
      <x:c r="B261" s="51" t="str">
        <x:v>Sol</x:v>
      </x:c>
      <x:c r="C261" s="51" t="str">
        <x:v>crouch-transition</x:v>
      </x:c>
      <x:c r="D261" s="51" t="str">
        <x:v>assets/heroes/rayan/crouch-transition.png</x:v>
      </x:c>
      <x:c r="E261" s="51" t="str">
        <x:v>Four 128×160 transition cells: two enter, two exit. Standing clearance remains owned by physics.</x:v>
      </x:c>
      <x:c r="F261" s="51" t="str">
        <x:v>MISSING / ART HANDOFF</x:v>
      </x:c>
      <x:c r="G261" s="51" t="str">
        <x:v>MISSING: temporary independent limb cutout exists, not final hand-drawn art. Add a separate clip/manifest hook on receipt, not an undocumented frame14.</x:v>
      </x:c>
    </x:row>
    <x:row r="262" ht="74" customHeight="1">
      <x:c r="A262" s="51" t="str">
        <x:v>Crouch authored art</x:v>
      </x:c>
      <x:c r="B262" s="51" t="str">
        <x:v>Sol</x:v>
      </x:c>
      <x:c r="C262" s="51" t="str">
        <x:v>crouch-attack</x:v>
      </x:c>
      <x:c r="D262" s="51" t="str">
        <x:v>assets/heroes/rayan/crouch-attack.png</x:v>
      </x:c>
      <x:c r="E262" s="51" t="str">
        <x:v>Three 128×160 cells: startup, active, recovery. Preserve existing combat phase timing and reach.</x:v>
      </x:c>
      <x:c r="F262" s="51" t="str">
        <x:v>MISSING / ART HANDOFF</x:v>
      </x:c>
      <x:c r="G262" s="51" t="str">
        <x:v>MISSING: temporary independent limb cutout exists, not final hand-drawn art. Add a separate clip/manifest hook on receipt, not an undocumented frame14.</x:v>
      </x:c>
    </x:row>
    <x:row r="263" ht="74" customHeight="1">
      <x:c r="A263" s="51" t="str">
        <x:v>Crouch rig data</x:v>
      </x:c>
      <x:c r="B263" s="51" t="str">
        <x:v>Sol</x:v>
      </x:c>
      <x:c r="C263" s="51" t="str">
        <x:v>crouch-sockets</x:v>
      </x:c>
      <x:c r="D263" s="51" t="str">
        <x:v>assets/heroes/rayan/crouch-sockets.json</x:v>
      </x:c>
      <x:c r="E263" s="51" t="str">
        <x:v>Main/offhand sockets for every crouch clip; leg/torso, foreground fingers, clothing/weapon occlusion review.</x:v>
      </x:c>
      <x:c r="F263" s="51" t="str">
        <x:v>MISSING / ART HANDOFF</x:v>
      </x:c>
      <x:c r="G263" s="51" t="str">
        <x:v>MISSING: current approximate cutout torso transform is not final per-frame calibration.</x:v>
      </x:c>
    </x:row>
    <x:row r="264" ht="74" customHeight="1">
      <x:c r="A264" s="51" t="str">
        <x:v>Crouch authored art</x:v>
      </x:c>
      <x:c r="B264" s="51" t="str">
        <x:v>Rime</x:v>
      </x:c>
      <x:c r="C264" s="51" t="str">
        <x:v>crouch-idle</x:v>
      </x:c>
      <x:c r="D264" s="51" t="str">
        <x:v>assets/heroes/mira/crouch-idle.png</x:v>
      </x:c>
      <x:c r="E264" s="51" t="str">
        <x:v>One 128×160 transparent crouched idle pose, bent knees and lowered torso, feet on the same baseline.</x:v>
      </x:c>
      <x:c r="F264" s="51" t="str">
        <x:v>MISSING / ART HANDOFF</x:v>
      </x:c>
      <x:c r="G264" s="51" t="str">
        <x:v>MISSING: temporary independent limb cutout exists, not final hand-drawn art. Add a separate clip/manifest hook on receipt, not an undocumented frame14.</x:v>
      </x:c>
    </x:row>
    <x:row r="265" ht="74" customHeight="1">
      <x:c r="A265" s="51" t="str">
        <x:v>Crouch authored art</x:v>
      </x:c>
      <x:c r="B265" s="51" t="str">
        <x:v>Rime</x:v>
      </x:c>
      <x:c r="C265" s="51" t="str">
        <x:v>crouch-move</x:v>
      </x:c>
      <x:c r="D265" s="51" t="str">
        <x:v>assets/heroes/mira/crouch-move.png</x:v>
      </x:c>
      <x:c r="E265" s="51" t="str">
        <x:v>Four 128×160 transparent crouch locomotion frames in one row, same origin/feet line.</x:v>
      </x:c>
      <x:c r="F265" s="51" t="str">
        <x:v>MISSING / ART HANDOFF</x:v>
      </x:c>
      <x:c r="G265" s="51" t="str">
        <x:v>MISSING: temporary independent limb cutout exists, not final hand-drawn art. Add a separate clip/manifest hook on receipt, not an undocumented frame14.</x:v>
      </x:c>
    </x:row>
    <x:row r="266" ht="74" customHeight="1">
      <x:c r="A266" s="51" t="str">
        <x:v>Crouch authored art</x:v>
      </x:c>
      <x:c r="B266" s="51" t="str">
        <x:v>Rime</x:v>
      </x:c>
      <x:c r="C266" s="51" t="str">
        <x:v>crouch-transition</x:v>
      </x:c>
      <x:c r="D266" s="51" t="str">
        <x:v>assets/heroes/mira/crouch-transition.png</x:v>
      </x:c>
      <x:c r="E266" s="51" t="str">
        <x:v>Four 128×160 transition cells: two enter, two exit. Standing clearance remains owned by physics.</x:v>
      </x:c>
      <x:c r="F266" s="51" t="str">
        <x:v>MISSING / ART HANDOFF</x:v>
      </x:c>
      <x:c r="G266" s="51" t="str">
        <x:v>MISSING: temporary independent limb cutout exists, not final hand-drawn art. Add a separate clip/manifest hook on receipt, not an undocumented frame14.</x:v>
      </x:c>
    </x:row>
    <x:row r="267" ht="74" customHeight="1">
      <x:c r="A267" s="51" t="str">
        <x:v>Crouch authored art</x:v>
      </x:c>
      <x:c r="B267" s="51" t="str">
        <x:v>Rime</x:v>
      </x:c>
      <x:c r="C267" s="51" t="str">
        <x:v>crouch-attack</x:v>
      </x:c>
      <x:c r="D267" s="51" t="str">
        <x:v>assets/heroes/mira/crouch-attack.png</x:v>
      </x:c>
      <x:c r="E267" s="51" t="str">
        <x:v>Three 128×160 cells: startup, active, recovery. Preserve existing combat phase timing and reach.</x:v>
      </x:c>
      <x:c r="F267" s="51" t="str">
        <x:v>MISSING / ART HANDOFF</x:v>
      </x:c>
      <x:c r="G267" s="51" t="str">
        <x:v>MISSING: temporary independent limb cutout exists, not final hand-drawn art. Add a separate clip/manifest hook on receipt, not an undocumented frame14.</x:v>
      </x:c>
    </x:row>
    <x:row r="268" ht="74" customHeight="1">
      <x:c r="A268" s="51" t="str">
        <x:v>Crouch rig data</x:v>
      </x:c>
      <x:c r="B268" s="51" t="str">
        <x:v>Rime</x:v>
      </x:c>
      <x:c r="C268" s="51" t="str">
        <x:v>crouch-sockets</x:v>
      </x:c>
      <x:c r="D268" s="51" t="str">
        <x:v>assets/heroes/mira/crouch-sockets.json</x:v>
      </x:c>
      <x:c r="E268" s="51" t="str">
        <x:v>Main/offhand sockets for every crouch clip; leg/torso, foreground fingers, clothing/weapon occlusion review.</x:v>
      </x:c>
      <x:c r="F268" s="51" t="str">
        <x:v>MISSING / ART HANDOFF</x:v>
      </x:c>
      <x:c r="G268" s="51" t="str">
        <x:v>MISSING: current approximate cutout torso transform is not final per-frame calibration.</x:v>
      </x:c>
    </x:row>
    <x:row r="269" ht="74" customHeight="1">
      <x:c r="A269" s="51" t="str">
        <x:v>UI glyph finish</x:v>
      </x:c>
      <x:c r="B269" s="51" t="str">
        <x:v>All heroes</x:v>
      </x:c>
      <x:c r="C269" s="51" t="str">
        <x:v>crouch</x:v>
      </x:c>
      <x:c r="D269" s="51" t="str">
        <x:v>assets/ui/icons/crouch-pose-final.png</x:v>
      </x:c>
      <x:c r="E269" s="51" t="str">
        <x:v>32×32 logical icon: bent-knee side silhouette under a low overhead bar; one contiguous readable shape, dark outline, cream/gold highlights, transparent. Read at32 and grayscale.</x:v>
      </x:c>
      <x:c r="F269" s="51" t="str">
        <x:v>MISSING / ART HANDOFF</x:v>
      </x:c>
      <x:c r="G269" s="51" t="str">
        <x:v>OPTIONAL REPLACEMENT: original runtime SVG is functional and supplied in icons.js, not a missing runtime reference.</x:v>
      </x:c>
    </x:row>
    <x:row r="270" ht="74" customHeight="1">
      <x:c r="A270" s="51" t="str">
        <x:v>UI glyph finish</x:v>
      </x:c>
      <x:c r="B270" s="51" t="str">
        <x:v>All heroes</x:v>
      </x:c>
      <x:c r="C270" s="51" t="str">
        <x:v>unarmed</x:v>
      </x:c>
      <x:c r="D270" s="51" t="str">
        <x:v>assets/ui/icons/fist-final.png</x:v>
      </x:c>
      <x:c r="E270" s="51" t="str">
        <x:v>32×32 clenched fist silhouette, short wrist, visible thumb and distinct finger grouping; transparent; no lettering.</x:v>
      </x:c>
      <x:c r="F270" s="51" t="str">
        <x:v>MISSING / ART HANDOFF</x:v>
      </x:c>
      <x:c r="G270" s="51" t="str">
        <x:v>OPTIONAL REPLACEMENT: current original runtime SVG is functional, not an existing supplied-sheet crop.</x:v>
      </x:c>
    </x:row>
    <x:row r="271" ht="74" customHeight="1">
      <x:c r="A271" s="51" t="str">
        <x:v>Mockup fidelity</x:v>
      </x:c>
      <x:c r="B271" s="51" t="str">
        <x:v>Global shell</x:v>
      </x:c>
      <x:c r="C271" s="51" t="str">
        <x:v>night-scenery</x:v>
      </x:c>
      <x:c r="D271" s="51" t="str">
        <x:v>assets/backgrounds/menu-moon-castle.png</x:v>
      </x:c>
      <x:c r="E271" s="51" t="str">
        <x:v>Clean full landscape moon/castle/forest scenery matching mockups, with no text, frames or heroes.</x:v>
      </x:c>
      <x:c r="F271" s="51" t="str">
        <x:v>MISSING / ART HANDOFF</x:v>
      </x:c>
      <x:c r="G271" s="51" t="str">
        <x:v>MISSING: current cosmic/castle source is not the same night scene. No screenshot background is baked over live UI.</x:v>
      </x:c>
    </x:row>
    <x:row r="272" ht="74" customHeight="1">
      <x:c r="A272" s="51" t="str">
        <x:v>Mockup fidelity</x:v>
      </x:c>
      <x:c r="B272" s="51" t="str">
        <x:v>Home</x:v>
      </x:c>
      <x:c r="C272" s="51" t="str">
        <x:v>pedestal</x:v>
      </x:c>
      <x:c r="D272" s="51" t="str">
        <x:v>assets/ui/home/rocky-pedestal.png</x:v>
      </x:c>
      <x:c r="E272" s="51" t="str">
        <x:v>Isolated pixel-art rocky floating hero platform, transparent, matching target perspective.</x:v>
      </x:c>
      <x:c r="F272" s="51" t="str">
        <x:v>MISSING / ART HANDOFF</x:v>
      </x:c>
      <x:c r="G272" s="51" t="str">
        <x:v>MISSING: original procedural platform remains; not claimed as matched.</x:v>
      </x:c>
    </x:row>
    <x:row r="273" ht="74" customHeight="1">
      <x:c r="A273" s="51" t="str">
        <x:v>Mockup fidelity</x:v>
      </x:c>
      <x:c r="B273" s="51" t="str">
        <x:v>Home / Missions</x:v>
      </x:c>
      <x:c r="C273" s="51" t="str">
        <x:v>illustrations</x:v>
      </x:c>
      <x:c r="D273" s="51" t="str">
        <x:v>assets/ui/illustrations/&lt;mode-or-mission&gt;.png</x:v>
      </x:c>
      <x:c r="E273" s="51" t="str">
        <x:v>Clean isolated page-appropriate mode/quest vignettes (no text or frames).</x:v>
      </x:c>
      <x:c r="F273" s="51" t="str">
        <x:v>MISSING / ART HANDOFF</x:v>
      </x:c>
      <x:c r="G273" s="51" t="str">
        <x:v>PARTIAL: current portraits use existing source map scenery and supplied icons, not exact custom target illustrations.</x:v>
      </x:c>
    </x:row>
    <x:row r="274" ht="74" customHeight="1">
      <x:c r="A274" s="51" t="str">
        <x:v>Mockup fidelity</x:v>
      </x:c>
      <x:c r="B274" s="51" t="str">
        <x:v>Typography</x:v>
      </x:c>
      <x:c r="C274" s="51" t="str">
        <x:v>original-typeface</x:v>
      </x:c>
      <x:c r="D274" s="51" t="str">
        <x:v>NOT_A_BUNDLED_FILE</x:v>
      </x:c>
      <x:c r="E274" s="51" t="str">
        <x:v>Original licensed display/body typeface identification plus device rendering approval.</x:v>
      </x:c>
      <x:c r="F274" s="51" t="str">
        <x:v>MISSING / ART HANDOFF</x:v>
      </x:c>
      <x:c r="G274" s="51" t="str">
        <x:v>NOT SUPPLIED: display uses locally rendered Georgia/serif pixel-raster fallback, body Georgia (VT323 when locally available); no font binaries distributed.</x:v>
      </x:c>
    </x:row>
  </x:sheetData>
  <x:pageMargins left="0.7" right="0.7" top="0.75" bottom="0.75" header="0.3" footer="0.3"/>
  <x:tableParts count="1">
    <x:tablePart xmlns:r="http://schemas.openxmlformats.org/officeDocument/2006/relationships" r:id="Rf3a2b50b11544f0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7" hidden="0" customWidth="1"/>
    <x:col min="3" max="3" width="38" hidden="0" customWidth="1"/>
    <x:col min="4" max="4" width="44" hidden="0" customWidth="1"/>
    <x:col min="5" max="5" width="40" hidden="0" customWidth="1"/>
    <x:col min="6" max="6" width="28" hidden="0" customWidth="1"/>
    <x:col min="7" max="7" width="36" hidden="0" customWidth="1"/>
  </x:cols>
  <x:sheetData>
    <x:row r="1" ht="30" customHeight="1">
      <x:c r="A1" s="56" t="str">
        <x:v>Manifest key</x:v>
      </x:c>
      <x:c r="B1" s="56" t="str">
        <x:v>Output path</x:v>
      </x:c>
      <x:c r="C1" s="56" t="str">
        <x:v>Original source</x:v>
      </x:c>
      <x:c r="D1" s="56" t="str">
        <x:v>Pixel operation</x:v>
      </x:c>
      <x:c r="E1" s="56" t="str">
        <x:v>Used on</x:v>
      </x:c>
      <x:c r="F1" s="56" t="str">
        <x:v>Status</x:v>
      </x:c>
      <x:c r="G1" s="56" t="str">
        <x:v>SHA-256</x:v>
      </x:c>
    </x:row>
    <x:row r="2" ht="92" customHeight="1">
      <x:c r="A2" s="51" t="str">
        <x:v>ui/frames/panel-shell</x:v>
      </x:c>
      <x:c r="B2" s="51" t="str">
        <x:v>assets/ui/frames/panel-shell.png</x:v>
      </x:c>
      <x:c r="C2" s="51" t="str">
        <x:v>assets/ui/frames/panel.png</x:v>
      </x:c>
      <x:c r="D2" s="51" t="str">
        <x:v>[{"crop":[0,0,32,32],"paste":[0,0]},{"crop":[64,0,96,32],"paste":[32,0]},{"crop":[408,0,440,32],"paste":[64,0]},{"crop":[0,64,32,96],"paste":[0,32]},{"crop":[64,64,96,96],"paste":[32,32]},{"crop":[408,64,440,96],"paste":[64,32]},{"crop":[0,195,32,227],"paste":[0,64]},{"crop":[64,195,96,227],"paste":[32,64]},{"crop":[408,195,440,227],"paste":[64,64]}]</x:v>
      </x:c>
      <x:c r="E2" s="51" t="str">
        <x:v>All ten screens: shared corner-preserving panel shell</x:v>
      </x:c>
      <x:c r="F2" s="51" t="str">
        <x:v>Runtime integrated</x:v>
      </x:c>
      <x:c r="G2" s="51" t="str">
        <x:v>bdfb4ce1a159c0056e0753199cb06f32237046c1a3aaad81bd541fa62460beac</x:v>
      </x:c>
    </x:row>
    <x:row r="3" ht="92" customHeight="1">
      <x:c r="A3" s="51" t="str">
        <x:v>ui/ornaments/diamond</x:v>
      </x:c>
      <x:c r="B3" s="51" t="str">
        <x:v>assets/ui/ornaments/diamond.png</x:v>
      </x:c>
      <x:c r="C3" s="51" t="str">
        <x:v>assets/ui/frames/panel.png</x:v>
      </x:c>
      <x:c r="D3" s="51" t="str">
        <x:v>[{"crop":[211,2,235,26]}]</x:v>
      </x:c>
      <x:c r="E3" s="51" t="str">
        <x:v>All screen headers and panel/card caption dividers</x:v>
      </x:c>
      <x:c r="F3" s="51" t="str">
        <x:v>Runtime integrated</x:v>
      </x:c>
      <x:c r="G3" s="51" t="str">
        <x:v>002acb15001353a5a76eaac547a16db6ac30d81ce52d878bcae12c123824d8c1</x:v>
      </x:c>
    </x:row>
    <x:row r="4" ht="92" customHeight="1">
      <x:c r="A4" s="51" t="str">
        <x:v>ui/ornaments/rule</x:v>
      </x:c>
      <x:c r="B4" s="51" t="str">
        <x:v>assets/ui/ornaments/rule.png</x:v>
      </x:c>
      <x:c r="C4" s="51" t="str">
        <x:v>assets/ui/frames/panel.png</x:v>
      </x:c>
      <x:c r="D4" s="51" t="str">
        <x:v>[{"crop":[65,11,97,14]}]</x:v>
      </x:c>
      <x:c r="E4" s="51" t="str">
        <x:v>All screen headers and panel/card caption dividers</x:v>
      </x:c>
      <x:c r="F4" s="51" t="str">
        <x:v>Runtime integrated</x:v>
      </x:c>
      <x:c r="G4" s="51" t="str">
        <x:v>7c436e851a095aafe4ac1fb9d934679bf799f6f9c47cd97ddfbe41f4d9313f46</x:v>
      </x:c>
    </x:row>
    <x:row r="5" ht="92" customHeight="1">
      <x:c r="A5" s="51" t="str">
        <x:v>ui/icons/crown-silver</x:v>
      </x:c>
      <x:c r="B5" s="51" t="str">
        <x:v>assets/ui/icons/crown-silver.png</x:v>
      </x:c>
      <x:c r="C5" s="51" t="str">
        <x:v>art-source/ui/Assets_icons.png</x:v>
      </x:c>
      <x:c r="D5" s="51" t="str">
        <x:v>[{"crop":[143,604,250,696]}]</x:v>
      </x:c>
      <x:c r="E5" s="51" t="str">
        <x:v>Boss Hunt: themed crown badge</x:v>
      </x:c>
      <x:c r="F5" s="51" t="str">
        <x:v>Runtime integrated</x:v>
      </x:c>
      <x:c r="G5" s="51" t="str">
        <x:v>01a9c56c363d7ef008328faefcd468c39455b68b2f8e2d3d2bca51688ea76a75</x:v>
      </x:c>
    </x:row>
    <x:row r="6" ht="92" customHeight="1">
      <x:c r="A6" s="51" t="str">
        <x:v>ui/icons/crown-red</x:v>
      </x:c>
      <x:c r="B6" s="51" t="str">
        <x:v>assets/ui/icons/crown-red.png</x:v>
      </x:c>
      <x:c r="C6" s="51" t="str">
        <x:v>art-source/ui/Assets_icons.png</x:v>
      </x:c>
      <x:c r="D6" s="51" t="str">
        <x:v>[{"crop":[256,604,363,696]}]</x:v>
      </x:c>
      <x:c r="E6" s="51" t="str">
        <x:v>Boss Hunt: themed crown badge</x:v>
      </x:c>
      <x:c r="F6" s="51" t="str">
        <x:v>Runtime integrated</x:v>
      </x:c>
      <x:c r="G6" s="51" t="str">
        <x:v>f37acb7aacda4566e258e285e98c7215da32c3731e21cc1b6307079825696967</x:v>
      </x:c>
    </x:row>
    <x:row r="7" ht="92" customHeight="1">
      <x:c r="A7" s="51" t="str">
        <x:v>ui/icons/crown-green</x:v>
      </x:c>
      <x:c r="B7" s="51" t="str">
        <x:v>assets/ui/icons/crown-green.png</x:v>
      </x:c>
      <x:c r="C7" s="51" t="str">
        <x:v>art-source/ui/Assets_icons.png</x:v>
      </x:c>
      <x:c r="D7" s="51" t="str">
        <x:v>[{"crop":[376,604,486,696]}]</x:v>
      </x:c>
      <x:c r="E7" s="51" t="str">
        <x:v>Boss Hunt: themed crown badge</x:v>
      </x:c>
      <x:c r="F7" s="51" t="str">
        <x:v>Runtime integrated</x:v>
      </x:c>
      <x:c r="G7" s="51" t="str">
        <x:v>0833d2b03c5e245c6f22c7747ac328d006f7c3a0c4bd78633270aa386b3bc427</x:v>
      </x:c>
    </x:row>
    <x:row r="8" ht="92" customHeight="1">
      <x:c r="A8" s="51" t="str">
        <x:v>ui/icons/crown-cyan</x:v>
      </x:c>
      <x:c r="B8" s="51" t="str">
        <x:v>assets/ui/icons/crown-cyan.png</x:v>
      </x:c>
      <x:c r="C8" s="51" t="str">
        <x:v>art-source/ui/Assets_icons.png</x:v>
      </x:c>
      <x:c r="D8" s="51" t="str">
        <x:v>[{"crop":[503,604,612,696]}]</x:v>
      </x:c>
      <x:c r="E8" s="51" t="str">
        <x:v>Boss Hunt: themed crown badge</x:v>
      </x:c>
      <x:c r="F8" s="51" t="str">
        <x:v>Runtime integrated</x:v>
      </x:c>
      <x:c r="G8" s="51" t="str">
        <x:v>36ba5dc99dfa814e96663d3159ea2c097371c874389959e68368c5f44486a53f</x:v>
      </x:c>
    </x:row>
    <x:row r="9" ht="92" customHeight="1">
      <x:c r="A9" s="51" t="str">
        <x:v>ui/icons/crown-pink</x:v>
      </x:c>
      <x:c r="B9" s="51" t="str">
        <x:v>assets/ui/icons/crown-pink.png</x:v>
      </x:c>
      <x:c r="C9" s="51" t="str">
        <x:v>art-source/ui/Assets_icons.png</x:v>
      </x:c>
      <x:c r="D9" s="51" t="str">
        <x:v>[{"crop":[622,604,731,696]}]</x:v>
      </x:c>
      <x:c r="E9" s="51" t="str">
        <x:v>Prepared/registered; not currently drawn by Boss Hunt theme cycle</x:v>
      </x:c>
      <x:c r="F9" s="51" t="str">
        <x:v>Registered; prepared only</x:v>
      </x:c>
      <x:c r="G9" s="51" t="str">
        <x:v>64fce3ee8891569a5f631d8836b3b2099971297207471d0b102889f5cc762159</x:v>
      </x:c>
    </x:row>
  </x:sheetData>
  <x:pageMargins left="0.7" right="0.7" top="0.75" bottom="0.75" header="0.3" footer="0.3"/>
  <x:tableParts count="1">
    <x:tablePart xmlns:r="http://schemas.openxmlformats.org/officeDocument/2006/relationships" r:id="R171ce5fedd934481"/>
  </x:tableParts>
</x:worksheet>
</file>